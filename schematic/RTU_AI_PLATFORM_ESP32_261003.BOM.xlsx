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2026\DreamPOP\SCH\"/>
    </mc:Choice>
  </mc:AlternateContent>
  <xr:revisionPtr revIDLastSave="0" documentId="13_ncr:1_{46393A74-E9E5-4220-8D20-18F204248A55}" xr6:coauthVersionLast="47" xr6:coauthVersionMax="47" xr10:uidLastSave="{00000000-0000-0000-0000-000000000000}"/>
  <bookViews>
    <workbookView xWindow="0" yWindow="4950" windowWidth="26850" windowHeight="13620" xr2:uid="{40EC844E-67A9-47EB-9747-F4133AB7E6B6}"/>
  </bookViews>
  <sheets>
    <sheet name="RTU_AI_PLATFORM_ESP32_26100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20" i="1"/>
  <c r="F22" i="1"/>
  <c r="F29" i="1"/>
  <c r="F44" i="1"/>
  <c r="F46" i="1"/>
  <c r="F52" i="1"/>
  <c r="F58" i="1"/>
  <c r="F65" i="1"/>
  <c r="F71" i="1"/>
  <c r="F96" i="1"/>
  <c r="F107" i="1"/>
  <c r="F118" i="1"/>
  <c r="F120" i="1"/>
  <c r="F124" i="1"/>
  <c r="F126" i="1"/>
  <c r="F130" i="1"/>
  <c r="F138" i="1"/>
  <c r="F143" i="1"/>
  <c r="F149" i="1"/>
  <c r="G15" i="1"/>
  <c r="G16" i="1"/>
  <c r="G17" i="1"/>
  <c r="F17" i="1" s="1"/>
  <c r="G18" i="1"/>
  <c r="F18" i="1" s="1"/>
  <c r="G19" i="1"/>
  <c r="F19" i="1" s="1"/>
  <c r="G20" i="1"/>
  <c r="G21" i="1"/>
  <c r="F21" i="1" s="1"/>
  <c r="G22" i="1"/>
  <c r="G23" i="1"/>
  <c r="F23" i="1" s="1"/>
  <c r="G24" i="1"/>
  <c r="F24" i="1" s="1"/>
  <c r="G25" i="1"/>
  <c r="F25" i="1" s="1"/>
  <c r="G26" i="1"/>
  <c r="G27" i="1"/>
  <c r="G28" i="1"/>
  <c r="G29" i="1"/>
  <c r="G30" i="1"/>
  <c r="F30" i="1" s="1"/>
  <c r="G31" i="1"/>
  <c r="F31" i="1" s="1"/>
  <c r="G32" i="1"/>
  <c r="F32" i="1" s="1"/>
  <c r="G33" i="1"/>
  <c r="F33" i="1" s="1"/>
  <c r="G34" i="1"/>
  <c r="G35" i="1"/>
  <c r="G36" i="1"/>
  <c r="F36" i="1" s="1"/>
  <c r="G37" i="1"/>
  <c r="F37" i="1" s="1"/>
  <c r="G38" i="1"/>
  <c r="F38" i="1" s="1"/>
  <c r="G39" i="1"/>
  <c r="F39" i="1" s="1"/>
  <c r="G40" i="1"/>
  <c r="F40" i="1" s="1"/>
  <c r="G41" i="1"/>
  <c r="G42" i="1"/>
  <c r="F42" i="1" s="1"/>
  <c r="G43" i="1"/>
  <c r="F43" i="1" s="1"/>
  <c r="G44" i="1"/>
  <c r="G45" i="1"/>
  <c r="F45" i="1" s="1"/>
  <c r="G46" i="1"/>
  <c r="G47" i="1"/>
  <c r="F47" i="1" s="1"/>
  <c r="G48" i="1"/>
  <c r="F48" i="1" s="1"/>
  <c r="G49" i="1"/>
  <c r="G50" i="1"/>
  <c r="G51" i="1"/>
  <c r="F51" i="1" s="1"/>
  <c r="G52" i="1"/>
  <c r="G53" i="1"/>
  <c r="F53" i="1" s="1"/>
  <c r="G54" i="1"/>
  <c r="F54" i="1" s="1"/>
  <c r="G55" i="1"/>
  <c r="G56" i="1"/>
  <c r="G57" i="1"/>
  <c r="F57" i="1" s="1"/>
  <c r="G58" i="1"/>
  <c r="G59" i="1"/>
  <c r="F59" i="1" s="1"/>
  <c r="G60" i="1"/>
  <c r="F60" i="1" s="1"/>
  <c r="G61" i="1"/>
  <c r="G62" i="1"/>
  <c r="F62" i="1" s="1"/>
  <c r="G63" i="1"/>
  <c r="F63" i="1" s="1"/>
  <c r="G64" i="1"/>
  <c r="F64" i="1" s="1"/>
  <c r="G65" i="1"/>
  <c r="G66" i="1"/>
  <c r="F66" i="1" s="1"/>
  <c r="G67" i="1"/>
  <c r="F67" i="1" s="1"/>
  <c r="G68" i="1"/>
  <c r="F68" i="1" s="1"/>
  <c r="G69" i="1"/>
  <c r="F69" i="1" s="1"/>
  <c r="G70" i="1"/>
  <c r="F70" i="1" s="1"/>
  <c r="G71" i="1"/>
  <c r="G72" i="1"/>
  <c r="F72" i="1" s="1"/>
  <c r="G73" i="1"/>
  <c r="F73" i="1" s="1"/>
  <c r="G74" i="1"/>
  <c r="F74" i="1" s="1"/>
  <c r="G75" i="1"/>
  <c r="F75" i="1" s="1"/>
  <c r="G76" i="1"/>
  <c r="F76" i="1" s="1"/>
  <c r="G77" i="1"/>
  <c r="G78" i="1"/>
  <c r="G79" i="1"/>
  <c r="F79" i="1" s="1"/>
  <c r="G80" i="1"/>
  <c r="F80" i="1" s="1"/>
  <c r="G81" i="1"/>
  <c r="F81" i="1" s="1"/>
  <c r="G82" i="1"/>
  <c r="F82" i="1" s="1"/>
  <c r="G83" i="1"/>
  <c r="G84" i="1"/>
  <c r="G85" i="1"/>
  <c r="F85" i="1" s="1"/>
  <c r="G86" i="1"/>
  <c r="F86" i="1" s="1"/>
  <c r="G87" i="1"/>
  <c r="G88" i="1"/>
  <c r="F88" i="1" s="1"/>
  <c r="G89" i="1"/>
  <c r="G90" i="1"/>
  <c r="F90" i="1" s="1"/>
  <c r="G91" i="1"/>
  <c r="F91" i="1" s="1"/>
  <c r="G92" i="1"/>
  <c r="F92" i="1" s="1"/>
  <c r="G93" i="1"/>
  <c r="G94" i="1"/>
  <c r="G95" i="1"/>
  <c r="G96" i="1"/>
  <c r="G97" i="1"/>
  <c r="F97" i="1" s="1"/>
  <c r="G98" i="1"/>
  <c r="G99" i="1"/>
  <c r="G100" i="1"/>
  <c r="G101" i="1"/>
  <c r="F101" i="1" s="1"/>
  <c r="G102" i="1"/>
  <c r="F102" i="1" s="1"/>
  <c r="G103" i="1"/>
  <c r="F103" i="1" s="1"/>
  <c r="G104" i="1"/>
  <c r="G105" i="1"/>
  <c r="G106" i="1"/>
  <c r="F106" i="1" s="1"/>
  <c r="G107" i="1"/>
  <c r="G108" i="1"/>
  <c r="G109" i="1"/>
  <c r="G110" i="1"/>
  <c r="G111" i="1"/>
  <c r="G112" i="1"/>
  <c r="F112" i="1" s="1"/>
  <c r="G113" i="1"/>
  <c r="G114" i="1"/>
  <c r="G115" i="1"/>
  <c r="F115" i="1" s="1"/>
  <c r="G116" i="1"/>
  <c r="G117" i="1"/>
  <c r="F117" i="1" s="1"/>
  <c r="G118" i="1"/>
  <c r="G119" i="1"/>
  <c r="F119" i="1" s="1"/>
  <c r="G120" i="1"/>
  <c r="G121" i="1"/>
  <c r="F121" i="1" s="1"/>
  <c r="G122" i="1"/>
  <c r="F122" i="1" s="1"/>
  <c r="G123" i="1"/>
  <c r="F123" i="1" s="1"/>
  <c r="G124" i="1"/>
  <c r="G125" i="1"/>
  <c r="F125" i="1" s="1"/>
  <c r="G126" i="1"/>
  <c r="G127" i="1"/>
  <c r="F127" i="1" s="1"/>
  <c r="G128" i="1"/>
  <c r="F128" i="1" s="1"/>
  <c r="G129" i="1"/>
  <c r="F129" i="1" s="1"/>
  <c r="G130" i="1"/>
  <c r="G131" i="1"/>
  <c r="F131" i="1" s="1"/>
  <c r="G132" i="1"/>
  <c r="G133" i="1"/>
  <c r="F133" i="1" s="1"/>
  <c r="G134" i="1"/>
  <c r="F134" i="1" s="1"/>
  <c r="G135" i="1"/>
  <c r="F135" i="1" s="1"/>
  <c r="G136" i="1"/>
  <c r="G137" i="1"/>
  <c r="F137" i="1" s="1"/>
  <c r="G138" i="1"/>
  <c r="G139" i="1"/>
  <c r="G140" i="1"/>
  <c r="G141" i="1"/>
  <c r="F141" i="1" s="1"/>
  <c r="G142" i="1"/>
  <c r="F142" i="1" s="1"/>
  <c r="G143" i="1"/>
  <c r="G144" i="1"/>
  <c r="F144" i="1" s="1"/>
  <c r="G145" i="1"/>
  <c r="F145" i="1" s="1"/>
  <c r="G146" i="1"/>
  <c r="F146" i="1" s="1"/>
  <c r="G147" i="1"/>
  <c r="F147" i="1" s="1"/>
  <c r="G148" i="1"/>
  <c r="F148" i="1" s="1"/>
  <c r="G149" i="1"/>
  <c r="G150" i="1"/>
  <c r="F150" i="1" s="1"/>
  <c r="G151" i="1"/>
  <c r="F151" i="1" s="1"/>
  <c r="G152" i="1"/>
  <c r="F152" i="1" s="1"/>
  <c r="G153" i="1"/>
  <c r="F153" i="1" s="1"/>
  <c r="G154" i="1"/>
  <c r="F154" i="1" s="1"/>
</calcChain>
</file>

<file path=xl/sharedStrings.xml><?xml version="1.0" encoding="utf-8"?>
<sst xmlns="http://schemas.openxmlformats.org/spreadsheetml/2006/main" count="365" uniqueCount="271">
  <si>
    <t>Smart RTU  Revised: Friday, October 02, 2026</t>
  </si>
  <si>
    <t>20260928          Revision: 0.1</t>
  </si>
  <si>
    <t>Bill Of Materials        October 5,2026      3:11:56</t>
  </si>
  <si>
    <t>Page1</t>
  </si>
  <si>
    <t>Item</t>
  </si>
  <si>
    <t>Quantity</t>
  </si>
  <si>
    <t>Reference</t>
  </si>
  <si>
    <t>Part</t>
  </si>
  <si>
    <t>______________________________________________</t>
  </si>
  <si>
    <t>BD1</t>
  </si>
  <si>
    <t>CIM21J601NE/NC</t>
  </si>
  <si>
    <t>BD2</t>
  </si>
  <si>
    <t>CIM21J601NE</t>
  </si>
  <si>
    <t>B1</t>
  </si>
  <si>
    <t>BLM18EG331TN1</t>
  </si>
  <si>
    <t>B2</t>
  </si>
  <si>
    <t>FB0805/600R/2A</t>
  </si>
  <si>
    <t>CE1,CE3</t>
  </si>
  <si>
    <t>CE2,CE5,CE9</t>
  </si>
  <si>
    <t>100uF/10V/6.3mm</t>
  </si>
  <si>
    <t>CE4,CE8</t>
  </si>
  <si>
    <t>470uF/10V/6.3mm</t>
  </si>
  <si>
    <t>CE6</t>
  </si>
  <si>
    <t>220uF/50V/8pi</t>
  </si>
  <si>
    <t>CE7,CE10</t>
  </si>
  <si>
    <t>470uF/25V</t>
  </si>
  <si>
    <t>C1,C5,C8,C10,C11,C13</t>
  </si>
  <si>
    <t>C2,C9,C16,C18,C22,C24,</t>
  </si>
  <si>
    <t>C39,C41,C42,C43,C44,C45,</t>
  </si>
  <si>
    <t>C46,C54,C66,C72,C80,C81,</t>
  </si>
  <si>
    <t>C82,C83</t>
  </si>
  <si>
    <t>106/2012</t>
  </si>
  <si>
    <t>C4,C7</t>
  </si>
  <si>
    <t>106/1608</t>
  </si>
  <si>
    <t>C14,C15,C50,C52,C61,C73</t>
  </si>
  <si>
    <t>10u</t>
  </si>
  <si>
    <t>C19,C20,C21,C23,C27,C28,</t>
  </si>
  <si>
    <t>C29,C30,C31,C32,C33,C37,</t>
  </si>
  <si>
    <t>C68,C75</t>
  </si>
  <si>
    <t>C25,C26,C34,C36</t>
  </si>
  <si>
    <t>C40,C49,C64</t>
  </si>
  <si>
    <t>104/100V/2012</t>
  </si>
  <si>
    <t>C47</t>
  </si>
  <si>
    <t>1u/50V</t>
  </si>
  <si>
    <t>C48,C62</t>
  </si>
  <si>
    <t>1n</t>
  </si>
  <si>
    <t>C51,C53,C57,C59,C70,C74,</t>
  </si>
  <si>
    <t>100n</t>
  </si>
  <si>
    <t>C78,C79</t>
  </si>
  <si>
    <t>C55,C56</t>
  </si>
  <si>
    <t>6.8nF</t>
  </si>
  <si>
    <t>C58,C67</t>
  </si>
  <si>
    <t>18pF</t>
  </si>
  <si>
    <t>C60,C69</t>
  </si>
  <si>
    <t>104/1608</t>
  </si>
  <si>
    <t>C63</t>
  </si>
  <si>
    <t>22n</t>
  </si>
  <si>
    <t>C76</t>
  </si>
  <si>
    <t>12p</t>
  </si>
  <si>
    <t>DN1</t>
  </si>
  <si>
    <t>PESD2USB5UV-TR</t>
  </si>
  <si>
    <t>D1,D2,D3,D4,D5,D6,D10,</t>
  </si>
  <si>
    <t>LL4148</t>
  </si>
  <si>
    <t>D11,D16,D17,D23,D24,D37,</t>
  </si>
  <si>
    <t>D38,D39,D41</t>
  </si>
  <si>
    <t>D7</t>
  </si>
  <si>
    <t>SS16</t>
  </si>
  <si>
    <t>D8</t>
  </si>
  <si>
    <t>GREEN</t>
  </si>
  <si>
    <t>D9</t>
  </si>
  <si>
    <t>RED</t>
  </si>
  <si>
    <t>D12,D13,D14,D15,D18,D19,</t>
  </si>
  <si>
    <t>GG040205170N2P</t>
  </si>
  <si>
    <t>D20,D21,D22,D25,D26,D27,</t>
  </si>
  <si>
    <t>D28,D29,D30,D31</t>
  </si>
  <si>
    <t>D32</t>
  </si>
  <si>
    <t>BZT52-B15J</t>
  </si>
  <si>
    <t>D33</t>
  </si>
  <si>
    <t>MMSZ5255</t>
  </si>
  <si>
    <t>D34,D35,D36</t>
  </si>
  <si>
    <t>B2100A-13-F</t>
  </si>
  <si>
    <t>F1,F2,F3,F4,F5,F6,F7,F8,</t>
  </si>
  <si>
    <t>SMDH0805B010TF</t>
  </si>
  <si>
    <t>F9,F10,F11,F12</t>
  </si>
  <si>
    <t>IC1,IC2</t>
  </si>
  <si>
    <t>ADS131M08</t>
  </si>
  <si>
    <t>IC3</t>
  </si>
  <si>
    <t>1117-1.8</t>
  </si>
  <si>
    <t>IC4</t>
  </si>
  <si>
    <t>1117-3.3</t>
  </si>
  <si>
    <t>J1</t>
  </si>
  <si>
    <t>USB_TYPE-C</t>
  </si>
  <si>
    <t>J2,J5</t>
  </si>
  <si>
    <t>ECH350V/6P</t>
  </si>
  <si>
    <t>J3,J4,J7</t>
  </si>
  <si>
    <t>2.54mm/Header</t>
  </si>
  <si>
    <t>J6</t>
  </si>
  <si>
    <t>2.54mm</t>
  </si>
  <si>
    <t>J8</t>
  </si>
  <si>
    <t>ECH350V/8P</t>
  </si>
  <si>
    <t>J9</t>
  </si>
  <si>
    <t>SMW250-02</t>
  </si>
  <si>
    <t>J11,J12</t>
  </si>
  <si>
    <t>ECH350V/2P</t>
  </si>
  <si>
    <t>J13</t>
  </si>
  <si>
    <t>ECH350V/4P</t>
  </si>
  <si>
    <t>L1</t>
  </si>
  <si>
    <t>FCM1608KF-800T07</t>
  </si>
  <si>
    <t>L2</t>
  </si>
  <si>
    <t>NRS4018T2R2</t>
  </si>
  <si>
    <t>L3</t>
  </si>
  <si>
    <t>SLS5D28S330MTT(SWPA6020S3R3MT)</t>
  </si>
  <si>
    <t>Q1,Q2,Q3,Q4,Q7,Q8,Q10,</t>
  </si>
  <si>
    <t>MMBT3904</t>
  </si>
  <si>
    <t>Q11,Q12,Q13,Q14,Q15,Q17,</t>
  </si>
  <si>
    <t>Q18,Q19,Q21</t>
  </si>
  <si>
    <t>Q5,Q6</t>
  </si>
  <si>
    <t>BC817-40</t>
  </si>
  <si>
    <t>Q16</t>
  </si>
  <si>
    <t>DMN10H220L-7</t>
  </si>
  <si>
    <t>RV1,RV2,RV3</t>
  </si>
  <si>
    <t>391KD07</t>
  </si>
  <si>
    <t>R1,R2,R10,R11,R22,R23,</t>
  </si>
  <si>
    <t>R86,R87,R106,R110,R123,</t>
  </si>
  <si>
    <t>R126,R176,R177,R178,R180</t>
  </si>
  <si>
    <t>R3,R52,R62</t>
  </si>
  <si>
    <t>4.7k</t>
  </si>
  <si>
    <t>R4,R6,R12,R14,R19,R21,</t>
  </si>
  <si>
    <t>5k/2012/0.1%</t>
  </si>
  <si>
    <t>R26,R28,R30,R32,R40,R42</t>
  </si>
  <si>
    <t>R5,R7,R13,R15,R20,R24,</t>
  </si>
  <si>
    <t>10k/2012/0.1%</t>
  </si>
  <si>
    <t>R27,R29,R31,R33,R41,R43</t>
  </si>
  <si>
    <t>R8,R16</t>
  </si>
  <si>
    <t>5.1k</t>
  </si>
  <si>
    <t>R9</t>
  </si>
  <si>
    <t>1.5k</t>
  </si>
  <si>
    <t>R17,R25,R38,R54,R136,</t>
  </si>
  <si>
    <t>10k</t>
  </si>
  <si>
    <t>R143,R144,R145,R147,R150,</t>
  </si>
  <si>
    <t>R151,R152,R153,R154,R155,</t>
  </si>
  <si>
    <t>R164</t>
  </si>
  <si>
    <t>R18,R139,R160</t>
  </si>
  <si>
    <t>1M</t>
  </si>
  <si>
    <t>R34,R35,R95,R101,R105,</t>
  </si>
  <si>
    <t>1k</t>
  </si>
  <si>
    <t>R111,R116,R118,R120,R125,</t>
  </si>
  <si>
    <t>R132,R133,R134,R135,R166,</t>
  </si>
  <si>
    <t>R170,R171,R175</t>
  </si>
  <si>
    <t>R45,R140</t>
  </si>
  <si>
    <t>R46,R47,R48,R49,R50,R51</t>
  </si>
  <si>
    <t>10/3216</t>
  </si>
  <si>
    <t>R53,R55,R56,R58,R59,R60,</t>
  </si>
  <si>
    <t>100k/3216</t>
  </si>
  <si>
    <t>R61,R63,R64,R66,R67,R68,</t>
  </si>
  <si>
    <t>R69,R70,R71,R73,R74,R75</t>
  </si>
  <si>
    <t>R57,R65,R72</t>
  </si>
  <si>
    <t>1k/3216</t>
  </si>
  <si>
    <t>R76,R77,R78,R79,R80,R81,</t>
  </si>
  <si>
    <t>49.9k/2012</t>
  </si>
  <si>
    <t>R82,R83,R84,R85,R88,R89,</t>
  </si>
  <si>
    <t>R90,R91,R92,R93,R96,R97,</t>
  </si>
  <si>
    <t>R102,R103,R108,R109,R112,</t>
  </si>
  <si>
    <t>R113</t>
  </si>
  <si>
    <t>R94,R98,R100,R107,R114,</t>
  </si>
  <si>
    <t>1k/2012</t>
  </si>
  <si>
    <t>R115,R117,R122,R124,R127,</t>
  </si>
  <si>
    <t>R128,R129</t>
  </si>
  <si>
    <t>R99,R104,R119,R121,R130,</t>
  </si>
  <si>
    <t>49.9/3216</t>
  </si>
  <si>
    <t>R131</t>
  </si>
  <si>
    <t>R137</t>
  </si>
  <si>
    <t>51k</t>
  </si>
  <si>
    <t>R138</t>
  </si>
  <si>
    <t>24.9k</t>
  </si>
  <si>
    <t>R141,R142,R158,R159</t>
  </si>
  <si>
    <t>R146</t>
  </si>
  <si>
    <t>100k</t>
  </si>
  <si>
    <t>R148</t>
  </si>
  <si>
    <t>450k</t>
  </si>
  <si>
    <t>R149,R157</t>
  </si>
  <si>
    <t>R156</t>
  </si>
  <si>
    <t>R161</t>
  </si>
  <si>
    <t>33m/2012</t>
  </si>
  <si>
    <t>R162</t>
  </si>
  <si>
    <t>12.4k/1%</t>
  </si>
  <si>
    <t>R163</t>
  </si>
  <si>
    <t>57k</t>
  </si>
  <si>
    <t>R165</t>
  </si>
  <si>
    <t>580k</t>
  </si>
  <si>
    <t>R167,R172</t>
  </si>
  <si>
    <t>R168,R173</t>
  </si>
  <si>
    <t>R169,R174</t>
  </si>
  <si>
    <t>R181,R182,R183,R184</t>
  </si>
  <si>
    <t>750/3216</t>
  </si>
  <si>
    <t>R185,R186</t>
  </si>
  <si>
    <t>NC</t>
  </si>
  <si>
    <t>SW1</t>
  </si>
  <si>
    <t>SW2</t>
  </si>
  <si>
    <t>SW_DIP-6/SM</t>
  </si>
  <si>
    <t>SW6,SW7</t>
  </si>
  <si>
    <t>KDS-03H</t>
  </si>
  <si>
    <t>S1,S2,S3,S4</t>
  </si>
  <si>
    <t>HOLE</t>
  </si>
  <si>
    <t>U1,U5,U9,U12,U13,U15</t>
  </si>
  <si>
    <t>TLV9062/SOIC-8</t>
  </si>
  <si>
    <t>U2,U3,U7,U8,U10,U11,U20,</t>
  </si>
  <si>
    <t>IM03GR</t>
  </si>
  <si>
    <t>U21,U22,U23,U24,U25,U36,</t>
  </si>
  <si>
    <t>U37,U38,U40</t>
  </si>
  <si>
    <t>U4</t>
  </si>
  <si>
    <t>PCA9555PWR</t>
  </si>
  <si>
    <t>U6</t>
  </si>
  <si>
    <t>CH340K</t>
  </si>
  <si>
    <t>U16</t>
  </si>
  <si>
    <t>ESPS3-WROOM-1-N16R8</t>
  </si>
  <si>
    <t>U17,U18,U19</t>
  </si>
  <si>
    <t>ZMPT101B</t>
  </si>
  <si>
    <t>U26,U28</t>
  </si>
  <si>
    <t>LMB110S</t>
  </si>
  <si>
    <t>U27</t>
  </si>
  <si>
    <t>AP3417C</t>
  </si>
  <si>
    <t>U29</t>
  </si>
  <si>
    <t>LPJ1153GHNL</t>
  </si>
  <si>
    <t>U30,U33</t>
  </si>
  <si>
    <t>78M05-DPAK3</t>
  </si>
  <si>
    <t>U31</t>
  </si>
  <si>
    <t>W5500-QFP48</t>
  </si>
  <si>
    <t>U32</t>
  </si>
  <si>
    <t>TX4138</t>
  </si>
  <si>
    <t>U34,U35</t>
  </si>
  <si>
    <t>MAX485</t>
  </si>
  <si>
    <t>U41,U42,U43,U44</t>
  </si>
  <si>
    <t>H11L1</t>
  </si>
  <si>
    <t>X1</t>
  </si>
  <si>
    <t>25Mhz(3225_XTAL)</t>
  </si>
  <si>
    <t>Y1</t>
  </si>
  <si>
    <t>규격</t>
  </si>
  <si>
    <t>필요수량</t>
  </si>
  <si>
    <t>비고</t>
  </si>
  <si>
    <t>하나재고번호</t>
  </si>
  <si>
    <t>2012,600옴,0.5A</t>
  </si>
  <si>
    <t>1608,80옴,700mA</t>
  </si>
  <si>
    <t>SOT-23-5</t>
  </si>
  <si>
    <t>3225, 30ppm</t>
  </si>
  <si>
    <t>생산대수</t>
  </si>
  <si>
    <t>SMD전해 6.3pi, 16V</t>
    <phoneticPr fontId="18" type="noConversion"/>
  </si>
  <si>
    <t>SMD전해 8pi, 16V</t>
    <phoneticPr fontId="18" type="noConversion"/>
  </si>
  <si>
    <t>C3,C17,C65,C71,C77</t>
    <phoneticPr fontId="18" type="noConversion"/>
  </si>
  <si>
    <t>C6,C35,C38</t>
    <phoneticPr fontId="18" type="noConversion"/>
  </si>
  <si>
    <t>미삽</t>
    <phoneticPr fontId="18" type="noConversion"/>
  </si>
  <si>
    <t>SMD TACT</t>
    <phoneticPr fontId="18" type="noConversion"/>
  </si>
  <si>
    <t>트랜스, 중국</t>
    <phoneticPr fontId="18" type="noConversion"/>
  </si>
  <si>
    <t>mouser</t>
    <phoneticPr fontId="18" type="noConversion"/>
  </si>
  <si>
    <t>작업대 아래 박스</t>
    <phoneticPr fontId="18" type="noConversion"/>
  </si>
  <si>
    <t>작업대 옆 공구통 위</t>
    <phoneticPr fontId="18" type="noConversion"/>
  </si>
  <si>
    <t>알리익스프레스 봉투</t>
    <phoneticPr fontId="18" type="noConversion"/>
  </si>
  <si>
    <t>작업대 위 부품 박스</t>
    <phoneticPr fontId="18" type="noConversion"/>
  </si>
  <si>
    <t>하나전자</t>
    <phoneticPr fontId="18" type="noConversion"/>
  </si>
  <si>
    <t>Mouser</t>
    <phoneticPr fontId="18" type="noConversion"/>
  </si>
  <si>
    <t>8.192Mhz, OSC</t>
    <phoneticPr fontId="18" type="noConversion"/>
  </si>
  <si>
    <t>작업대 뒤쪽 부품 박스</t>
    <phoneticPr fontId="18" type="noConversion"/>
  </si>
  <si>
    <t>디바이스마트</t>
    <phoneticPr fontId="18" type="noConversion"/>
  </si>
  <si>
    <t>22uF/3216</t>
    <phoneticPr fontId="18" type="noConversion"/>
  </si>
  <si>
    <t>작업대 아래 부품 박스</t>
    <phoneticPr fontId="18" type="noConversion"/>
  </si>
  <si>
    <t>랙 커패시터 박스</t>
    <phoneticPr fontId="18" type="noConversion"/>
  </si>
  <si>
    <t>비드 일반</t>
    <phoneticPr fontId="18" type="noConversion"/>
  </si>
  <si>
    <t>캡 부품통</t>
    <phoneticPr fontId="18" type="noConversion"/>
  </si>
  <si>
    <t>작업대 아래 SMD 부품통</t>
    <phoneticPr fontId="18" type="noConversion"/>
  </si>
  <si>
    <t>SMD 부품통</t>
    <phoneticPr fontId="18" type="noConversion"/>
  </si>
  <si>
    <t>NRS6020T3R3NMGJ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</si>
</sst>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C3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36" borderId="0" xfId="0" applyFill="1">
      <alignment vertical="center"/>
    </xf>
    <xf numFmtId="0" fontId="0" fillId="35" borderId="0" xfId="0" applyFill="1">
      <alignment vertical="center"/>
    </xf>
    <xf numFmtId="0" fontId="0" fillId="34" borderId="0" xfId="0" applyFill="1">
      <alignment vertical="center"/>
    </xf>
    <xf numFmtId="3" fontId="0" fillId="0" borderId="0" xfId="0" applyNumberFormat="1">
      <alignment vertical="center"/>
    </xf>
    <xf numFmtId="0" fontId="14" fillId="0" borderId="0" xfId="0" applyFont="1">
      <alignment vertical="center"/>
    </xf>
    <xf numFmtId="0" fontId="0" fillId="33" borderId="0" xfId="0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FFFC3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3A91-92FF-43EB-B3AA-D8199B7419D1}">
  <dimension ref="A1:I154"/>
  <sheetViews>
    <sheetView tabSelected="1" topLeftCell="A127" workbookViewId="0">
      <selection activeCell="I140" sqref="I140"/>
    </sheetView>
  </sheetViews>
  <sheetFormatPr defaultRowHeight="16.5" x14ac:dyDescent="0.3"/>
  <cols>
    <col min="3" max="3" width="26.375" bestFit="1" customWidth="1"/>
    <col min="4" max="4" width="36.375" bestFit="1" customWidth="1"/>
    <col min="5" max="5" width="19.125" bestFit="1" customWidth="1"/>
    <col min="7" max="7" width="9" hidden="1" customWidth="1"/>
    <col min="8" max="8" width="23.875" bestFit="1" customWidth="1"/>
    <col min="9" max="9" width="13" bestFit="1" customWidth="1"/>
  </cols>
  <sheetData>
    <row r="1" spans="1:9" x14ac:dyDescent="0.3">
      <c r="A1" t="s">
        <v>0</v>
      </c>
    </row>
    <row r="2" spans="1:9" x14ac:dyDescent="0.3">
      <c r="A2" t="s">
        <v>1</v>
      </c>
    </row>
    <row r="6" spans="1:9" x14ac:dyDescent="0.3">
      <c r="D6" t="s">
        <v>245</v>
      </c>
      <c r="F6">
        <v>10</v>
      </c>
    </row>
    <row r="10" spans="1:9" x14ac:dyDescent="0.3">
      <c r="A10" t="s">
        <v>2</v>
      </c>
      <c r="B10" t="s">
        <v>3</v>
      </c>
    </row>
    <row r="12" spans="1:9" x14ac:dyDescent="0.3">
      <c r="A12" t="s">
        <v>4</v>
      </c>
      <c r="B12" t="s">
        <v>5</v>
      </c>
      <c r="C12" t="s">
        <v>6</v>
      </c>
      <c r="D12" t="s">
        <v>7</v>
      </c>
      <c r="E12" t="s">
        <v>237</v>
      </c>
      <c r="F12" t="s">
        <v>238</v>
      </c>
      <c r="H12" t="s">
        <v>239</v>
      </c>
      <c r="I12" t="s">
        <v>240</v>
      </c>
    </row>
    <row r="13" spans="1:9" x14ac:dyDescent="0.3">
      <c r="A13" t="s">
        <v>8</v>
      </c>
    </row>
    <row r="15" spans="1:9" x14ac:dyDescent="0.3">
      <c r="A15">
        <v>1</v>
      </c>
      <c r="B15">
        <v>1</v>
      </c>
      <c r="C15" t="s">
        <v>9</v>
      </c>
      <c r="D15" t="s">
        <v>10</v>
      </c>
      <c r="E15" t="s">
        <v>250</v>
      </c>
      <c r="G15">
        <f t="shared" ref="G15:G46" si="0">$F$6</f>
        <v>10</v>
      </c>
    </row>
    <row r="16" spans="1:9" x14ac:dyDescent="0.3">
      <c r="A16">
        <v>2</v>
      </c>
      <c r="B16">
        <v>1</v>
      </c>
      <c r="C16" t="s">
        <v>11</v>
      </c>
      <c r="D16" t="s">
        <v>12</v>
      </c>
      <c r="E16" t="s">
        <v>242</v>
      </c>
      <c r="F16">
        <f t="shared" ref="F16:F79" si="1">G16*B16</f>
        <v>10</v>
      </c>
      <c r="G16">
        <f t="shared" si="0"/>
        <v>10</v>
      </c>
      <c r="H16" t="s">
        <v>266</v>
      </c>
    </row>
    <row r="17" spans="1:9" x14ac:dyDescent="0.3">
      <c r="A17">
        <v>3</v>
      </c>
      <c r="B17">
        <v>1</v>
      </c>
      <c r="C17" t="s">
        <v>13</v>
      </c>
      <c r="D17" t="s">
        <v>14</v>
      </c>
      <c r="E17" t="s">
        <v>242</v>
      </c>
      <c r="F17">
        <f t="shared" si="1"/>
        <v>10</v>
      </c>
      <c r="G17">
        <f t="shared" si="0"/>
        <v>10</v>
      </c>
      <c r="H17" t="s">
        <v>266</v>
      </c>
    </row>
    <row r="18" spans="1:9" x14ac:dyDescent="0.3">
      <c r="A18">
        <v>4</v>
      </c>
      <c r="B18">
        <v>1</v>
      </c>
      <c r="C18" t="s">
        <v>15</v>
      </c>
      <c r="D18" t="s">
        <v>16</v>
      </c>
      <c r="E18" t="s">
        <v>241</v>
      </c>
      <c r="F18">
        <f t="shared" si="1"/>
        <v>10</v>
      </c>
      <c r="G18">
        <f t="shared" si="0"/>
        <v>10</v>
      </c>
      <c r="H18" s="1" t="s">
        <v>259</v>
      </c>
      <c r="I18" s="4"/>
    </row>
    <row r="19" spans="1:9" x14ac:dyDescent="0.3">
      <c r="A19">
        <v>5</v>
      </c>
      <c r="B19">
        <v>2</v>
      </c>
      <c r="C19" t="s">
        <v>17</v>
      </c>
      <c r="D19" t="s">
        <v>263</v>
      </c>
      <c r="E19">
        <v>3216</v>
      </c>
      <c r="F19">
        <f t="shared" si="1"/>
        <v>20</v>
      </c>
      <c r="G19">
        <f t="shared" si="0"/>
        <v>10</v>
      </c>
      <c r="H19" s="1" t="s">
        <v>259</v>
      </c>
      <c r="I19" s="4"/>
    </row>
    <row r="20" spans="1:9" x14ac:dyDescent="0.3">
      <c r="A20">
        <v>6</v>
      </c>
      <c r="B20">
        <v>3</v>
      </c>
      <c r="C20" t="s">
        <v>18</v>
      </c>
      <c r="D20" t="s">
        <v>19</v>
      </c>
      <c r="E20" t="s">
        <v>246</v>
      </c>
      <c r="F20">
        <f t="shared" si="1"/>
        <v>30</v>
      </c>
      <c r="G20">
        <f t="shared" si="0"/>
        <v>10</v>
      </c>
      <c r="H20" t="s">
        <v>265</v>
      </c>
    </row>
    <row r="21" spans="1:9" x14ac:dyDescent="0.3">
      <c r="A21">
        <v>7</v>
      </c>
      <c r="B21">
        <v>2</v>
      </c>
      <c r="C21" t="s">
        <v>20</v>
      </c>
      <c r="D21" t="s">
        <v>21</v>
      </c>
      <c r="E21" t="s">
        <v>246</v>
      </c>
      <c r="F21">
        <f t="shared" si="1"/>
        <v>20</v>
      </c>
      <c r="G21">
        <f t="shared" si="0"/>
        <v>10</v>
      </c>
      <c r="H21" t="s">
        <v>265</v>
      </c>
    </row>
    <row r="22" spans="1:9" x14ac:dyDescent="0.3">
      <c r="A22">
        <v>8</v>
      </c>
      <c r="B22">
        <v>1</v>
      </c>
      <c r="C22" t="s">
        <v>22</v>
      </c>
      <c r="D22" t="s">
        <v>23</v>
      </c>
      <c r="E22" t="s">
        <v>247</v>
      </c>
      <c r="F22">
        <f t="shared" si="1"/>
        <v>10</v>
      </c>
      <c r="G22">
        <f t="shared" si="0"/>
        <v>10</v>
      </c>
      <c r="H22" t="s">
        <v>265</v>
      </c>
    </row>
    <row r="23" spans="1:9" x14ac:dyDescent="0.3">
      <c r="A23">
        <v>9</v>
      </c>
      <c r="B23">
        <v>2</v>
      </c>
      <c r="C23" t="s">
        <v>24</v>
      </c>
      <c r="D23" t="s">
        <v>25</v>
      </c>
      <c r="E23" t="s">
        <v>247</v>
      </c>
      <c r="F23">
        <f t="shared" si="1"/>
        <v>20</v>
      </c>
      <c r="G23">
        <f t="shared" si="0"/>
        <v>10</v>
      </c>
      <c r="H23" t="s">
        <v>265</v>
      </c>
    </row>
    <row r="24" spans="1:9" x14ac:dyDescent="0.3">
      <c r="A24">
        <v>10</v>
      </c>
      <c r="B24">
        <v>6</v>
      </c>
      <c r="C24" t="s">
        <v>26</v>
      </c>
      <c r="D24">
        <v>105</v>
      </c>
      <c r="E24">
        <v>1608</v>
      </c>
      <c r="F24">
        <f t="shared" si="1"/>
        <v>60</v>
      </c>
      <c r="G24">
        <f t="shared" si="0"/>
        <v>10</v>
      </c>
      <c r="H24" t="s">
        <v>267</v>
      </c>
    </row>
    <row r="25" spans="1:9" x14ac:dyDescent="0.3">
      <c r="A25">
        <v>11</v>
      </c>
      <c r="B25">
        <v>20</v>
      </c>
      <c r="C25" t="s">
        <v>27</v>
      </c>
      <c r="D25">
        <v>104</v>
      </c>
      <c r="E25">
        <v>1608</v>
      </c>
      <c r="F25">
        <f t="shared" si="1"/>
        <v>200</v>
      </c>
      <c r="G25">
        <f t="shared" si="0"/>
        <v>10</v>
      </c>
      <c r="H25" t="s">
        <v>267</v>
      </c>
    </row>
    <row r="26" spans="1:9" x14ac:dyDescent="0.3">
      <c r="C26" t="s">
        <v>28</v>
      </c>
      <c r="G26">
        <f t="shared" si="0"/>
        <v>10</v>
      </c>
    </row>
    <row r="27" spans="1:9" x14ac:dyDescent="0.3">
      <c r="C27" t="s">
        <v>29</v>
      </c>
      <c r="G27">
        <f t="shared" si="0"/>
        <v>10</v>
      </c>
    </row>
    <row r="28" spans="1:9" x14ac:dyDescent="0.3">
      <c r="C28" t="s">
        <v>30</v>
      </c>
      <c r="G28">
        <f t="shared" si="0"/>
        <v>10</v>
      </c>
    </row>
    <row r="29" spans="1:9" x14ac:dyDescent="0.3">
      <c r="A29">
        <v>12</v>
      </c>
      <c r="B29">
        <v>5</v>
      </c>
      <c r="C29" t="s">
        <v>248</v>
      </c>
      <c r="D29" t="s">
        <v>31</v>
      </c>
      <c r="E29">
        <v>2012</v>
      </c>
      <c r="F29">
        <f t="shared" si="1"/>
        <v>50</v>
      </c>
      <c r="G29">
        <f t="shared" si="0"/>
        <v>10</v>
      </c>
      <c r="H29" t="s">
        <v>267</v>
      </c>
    </row>
    <row r="30" spans="1:9" x14ac:dyDescent="0.3">
      <c r="A30">
        <v>13</v>
      </c>
      <c r="B30">
        <v>2</v>
      </c>
      <c r="C30" t="s">
        <v>32</v>
      </c>
      <c r="D30" t="s">
        <v>33</v>
      </c>
      <c r="E30">
        <v>1608</v>
      </c>
      <c r="F30">
        <f t="shared" si="1"/>
        <v>20</v>
      </c>
      <c r="G30">
        <f t="shared" si="0"/>
        <v>10</v>
      </c>
      <c r="H30" t="s">
        <v>267</v>
      </c>
    </row>
    <row r="31" spans="1:9" x14ac:dyDescent="0.3">
      <c r="A31">
        <v>14</v>
      </c>
      <c r="B31">
        <v>3</v>
      </c>
      <c r="C31" t="s">
        <v>249</v>
      </c>
      <c r="D31">
        <v>106</v>
      </c>
      <c r="E31">
        <v>1608</v>
      </c>
      <c r="F31">
        <f t="shared" si="1"/>
        <v>30</v>
      </c>
      <c r="G31">
        <f t="shared" si="0"/>
        <v>10</v>
      </c>
      <c r="H31" t="s">
        <v>267</v>
      </c>
    </row>
    <row r="32" spans="1:9" x14ac:dyDescent="0.3">
      <c r="A32">
        <v>15</v>
      </c>
      <c r="B32">
        <v>6</v>
      </c>
      <c r="C32" t="s">
        <v>34</v>
      </c>
      <c r="D32" t="s">
        <v>35</v>
      </c>
      <c r="E32">
        <v>2012</v>
      </c>
      <c r="F32">
        <f t="shared" si="1"/>
        <v>60</v>
      </c>
      <c r="G32">
        <f t="shared" si="0"/>
        <v>10</v>
      </c>
      <c r="H32" t="s">
        <v>267</v>
      </c>
    </row>
    <row r="33" spans="1:8" x14ac:dyDescent="0.3">
      <c r="A33">
        <v>16</v>
      </c>
      <c r="B33">
        <v>14</v>
      </c>
      <c r="C33" t="s">
        <v>36</v>
      </c>
      <c r="D33">
        <v>103</v>
      </c>
      <c r="E33">
        <v>1608</v>
      </c>
      <c r="F33">
        <f t="shared" si="1"/>
        <v>140</v>
      </c>
      <c r="G33">
        <f t="shared" si="0"/>
        <v>10</v>
      </c>
      <c r="H33" t="s">
        <v>267</v>
      </c>
    </row>
    <row r="34" spans="1:8" x14ac:dyDescent="0.3">
      <c r="C34" t="s">
        <v>37</v>
      </c>
      <c r="G34">
        <f t="shared" si="0"/>
        <v>10</v>
      </c>
    </row>
    <row r="35" spans="1:8" x14ac:dyDescent="0.3">
      <c r="C35" t="s">
        <v>38</v>
      </c>
      <c r="G35">
        <f t="shared" si="0"/>
        <v>10</v>
      </c>
    </row>
    <row r="36" spans="1:8" x14ac:dyDescent="0.3">
      <c r="A36">
        <v>17</v>
      </c>
      <c r="B36">
        <v>4</v>
      </c>
      <c r="C36" t="s">
        <v>39</v>
      </c>
      <c r="D36">
        <v>224</v>
      </c>
      <c r="E36">
        <v>1608</v>
      </c>
      <c r="F36">
        <f t="shared" si="1"/>
        <v>40</v>
      </c>
      <c r="G36">
        <f t="shared" si="0"/>
        <v>10</v>
      </c>
      <c r="H36" t="s">
        <v>267</v>
      </c>
    </row>
    <row r="37" spans="1:8" x14ac:dyDescent="0.3">
      <c r="A37">
        <v>18</v>
      </c>
      <c r="B37">
        <v>3</v>
      </c>
      <c r="C37" t="s">
        <v>40</v>
      </c>
      <c r="D37" t="s">
        <v>41</v>
      </c>
      <c r="E37">
        <v>2012</v>
      </c>
      <c r="F37">
        <f t="shared" si="1"/>
        <v>30</v>
      </c>
      <c r="G37">
        <f t="shared" si="0"/>
        <v>10</v>
      </c>
      <c r="H37" t="s">
        <v>267</v>
      </c>
    </row>
    <row r="38" spans="1:8" x14ac:dyDescent="0.3">
      <c r="A38">
        <v>19</v>
      </c>
      <c r="B38">
        <v>1</v>
      </c>
      <c r="C38" t="s">
        <v>42</v>
      </c>
      <c r="D38" t="s">
        <v>43</v>
      </c>
      <c r="E38">
        <v>2012</v>
      </c>
      <c r="F38">
        <f t="shared" si="1"/>
        <v>10</v>
      </c>
      <c r="G38">
        <f t="shared" si="0"/>
        <v>10</v>
      </c>
      <c r="H38" t="s">
        <v>267</v>
      </c>
    </row>
    <row r="39" spans="1:8" x14ac:dyDescent="0.3">
      <c r="A39">
        <v>20</v>
      </c>
      <c r="B39">
        <v>2</v>
      </c>
      <c r="C39" t="s">
        <v>44</v>
      </c>
      <c r="D39" t="s">
        <v>45</v>
      </c>
      <c r="E39">
        <v>1608</v>
      </c>
      <c r="F39">
        <f t="shared" si="1"/>
        <v>20</v>
      </c>
      <c r="G39">
        <f t="shared" si="0"/>
        <v>10</v>
      </c>
      <c r="H39" t="s">
        <v>267</v>
      </c>
    </row>
    <row r="40" spans="1:8" x14ac:dyDescent="0.3">
      <c r="A40">
        <v>21</v>
      </c>
      <c r="B40">
        <v>8</v>
      </c>
      <c r="C40" t="s">
        <v>46</v>
      </c>
      <c r="D40" t="s">
        <v>47</v>
      </c>
      <c r="E40">
        <v>1608</v>
      </c>
      <c r="F40">
        <f t="shared" si="1"/>
        <v>80</v>
      </c>
      <c r="G40">
        <f t="shared" si="0"/>
        <v>10</v>
      </c>
      <c r="H40" t="s">
        <v>267</v>
      </c>
    </row>
    <row r="41" spans="1:8" x14ac:dyDescent="0.3">
      <c r="C41" t="s">
        <v>48</v>
      </c>
      <c r="G41">
        <f t="shared" si="0"/>
        <v>10</v>
      </c>
    </row>
    <row r="42" spans="1:8" x14ac:dyDescent="0.3">
      <c r="A42">
        <v>22</v>
      </c>
      <c r="B42">
        <v>2</v>
      </c>
      <c r="C42" t="s">
        <v>49</v>
      </c>
      <c r="D42" t="s">
        <v>50</v>
      </c>
      <c r="E42">
        <v>1608</v>
      </c>
      <c r="F42">
        <f t="shared" si="1"/>
        <v>20</v>
      </c>
      <c r="G42">
        <f t="shared" si="0"/>
        <v>10</v>
      </c>
      <c r="H42" t="s">
        <v>267</v>
      </c>
    </row>
    <row r="43" spans="1:8" x14ac:dyDescent="0.3">
      <c r="A43">
        <v>23</v>
      </c>
      <c r="B43">
        <v>2</v>
      </c>
      <c r="C43" t="s">
        <v>51</v>
      </c>
      <c r="D43" t="s">
        <v>52</v>
      </c>
      <c r="E43">
        <v>1608</v>
      </c>
      <c r="F43">
        <f t="shared" si="1"/>
        <v>20</v>
      </c>
      <c r="G43">
        <f t="shared" si="0"/>
        <v>10</v>
      </c>
      <c r="H43" t="s">
        <v>267</v>
      </c>
    </row>
    <row r="44" spans="1:8" x14ac:dyDescent="0.3">
      <c r="A44">
        <v>24</v>
      </c>
      <c r="B44">
        <v>2</v>
      </c>
      <c r="C44" t="s">
        <v>53</v>
      </c>
      <c r="D44" t="s">
        <v>54</v>
      </c>
      <c r="E44">
        <v>1608</v>
      </c>
      <c r="F44">
        <f t="shared" si="1"/>
        <v>20</v>
      </c>
      <c r="G44">
        <f t="shared" si="0"/>
        <v>10</v>
      </c>
      <c r="H44" t="s">
        <v>267</v>
      </c>
    </row>
    <row r="45" spans="1:8" x14ac:dyDescent="0.3">
      <c r="A45">
        <v>25</v>
      </c>
      <c r="B45">
        <v>1</v>
      </c>
      <c r="C45" t="s">
        <v>55</v>
      </c>
      <c r="D45" t="s">
        <v>56</v>
      </c>
      <c r="E45">
        <v>1608</v>
      </c>
      <c r="F45">
        <f t="shared" si="1"/>
        <v>10</v>
      </c>
      <c r="G45">
        <f t="shared" si="0"/>
        <v>10</v>
      </c>
      <c r="H45" t="s">
        <v>267</v>
      </c>
    </row>
    <row r="46" spans="1:8" x14ac:dyDescent="0.3">
      <c r="A46">
        <v>26</v>
      </c>
      <c r="B46">
        <v>1</v>
      </c>
      <c r="C46" t="s">
        <v>57</v>
      </c>
      <c r="D46" t="s">
        <v>58</v>
      </c>
      <c r="E46">
        <v>1608</v>
      </c>
      <c r="F46">
        <f t="shared" si="1"/>
        <v>10</v>
      </c>
      <c r="G46">
        <f t="shared" si="0"/>
        <v>10</v>
      </c>
      <c r="H46" t="s">
        <v>267</v>
      </c>
    </row>
    <row r="47" spans="1:8" x14ac:dyDescent="0.3">
      <c r="A47">
        <v>27</v>
      </c>
      <c r="B47">
        <v>1</v>
      </c>
      <c r="C47" t="s">
        <v>59</v>
      </c>
      <c r="D47" t="s">
        <v>60</v>
      </c>
      <c r="F47">
        <f t="shared" si="1"/>
        <v>10</v>
      </c>
      <c r="G47">
        <f t="shared" ref="G47:G78" si="2">$F$6</f>
        <v>10</v>
      </c>
      <c r="H47" t="s">
        <v>257</v>
      </c>
    </row>
    <row r="48" spans="1:8" x14ac:dyDescent="0.3">
      <c r="A48">
        <v>28</v>
      </c>
      <c r="B48">
        <v>16</v>
      </c>
      <c r="C48" t="s">
        <v>61</v>
      </c>
      <c r="D48" t="s">
        <v>62</v>
      </c>
      <c r="F48">
        <f t="shared" si="1"/>
        <v>160</v>
      </c>
      <c r="G48">
        <f t="shared" si="2"/>
        <v>10</v>
      </c>
      <c r="H48" t="s">
        <v>268</v>
      </c>
    </row>
    <row r="49" spans="1:8" x14ac:dyDescent="0.3">
      <c r="C49" t="s">
        <v>63</v>
      </c>
      <c r="G49">
        <f t="shared" si="2"/>
        <v>10</v>
      </c>
    </row>
    <row r="50" spans="1:8" x14ac:dyDescent="0.3">
      <c r="C50" t="s">
        <v>64</v>
      </c>
      <c r="G50">
        <f t="shared" si="2"/>
        <v>10</v>
      </c>
    </row>
    <row r="51" spans="1:8" x14ac:dyDescent="0.3">
      <c r="A51">
        <v>29</v>
      </c>
      <c r="B51">
        <v>1</v>
      </c>
      <c r="C51" t="s">
        <v>65</v>
      </c>
      <c r="D51" t="s">
        <v>66</v>
      </c>
      <c r="F51">
        <f t="shared" si="1"/>
        <v>10</v>
      </c>
      <c r="G51">
        <f t="shared" si="2"/>
        <v>10</v>
      </c>
      <c r="H51" s="1" t="s">
        <v>259</v>
      </c>
    </row>
    <row r="52" spans="1:8" x14ac:dyDescent="0.3">
      <c r="A52">
        <v>30</v>
      </c>
      <c r="B52">
        <v>1</v>
      </c>
      <c r="C52" t="s">
        <v>67</v>
      </c>
      <c r="D52" t="s">
        <v>68</v>
      </c>
      <c r="E52">
        <v>1608</v>
      </c>
      <c r="F52">
        <f t="shared" si="1"/>
        <v>10</v>
      </c>
      <c r="G52">
        <f t="shared" si="2"/>
        <v>10</v>
      </c>
      <c r="H52" t="s">
        <v>268</v>
      </c>
    </row>
    <row r="53" spans="1:8" x14ac:dyDescent="0.3">
      <c r="A53">
        <v>31</v>
      </c>
      <c r="B53">
        <v>1</v>
      </c>
      <c r="C53" t="s">
        <v>69</v>
      </c>
      <c r="D53" t="s">
        <v>70</v>
      </c>
      <c r="E53">
        <v>1608</v>
      </c>
      <c r="F53">
        <f t="shared" si="1"/>
        <v>10</v>
      </c>
      <c r="G53">
        <f t="shared" si="2"/>
        <v>10</v>
      </c>
      <c r="H53" t="s">
        <v>268</v>
      </c>
    </row>
    <row r="54" spans="1:8" x14ac:dyDescent="0.3">
      <c r="A54">
        <v>32</v>
      </c>
      <c r="B54">
        <v>16</v>
      </c>
      <c r="C54" t="s">
        <v>71</v>
      </c>
      <c r="D54" t="s">
        <v>72</v>
      </c>
      <c r="E54">
        <v>1608</v>
      </c>
      <c r="F54">
        <f t="shared" si="1"/>
        <v>160</v>
      </c>
      <c r="G54">
        <f t="shared" si="2"/>
        <v>10</v>
      </c>
      <c r="H54" s="3" t="s">
        <v>253</v>
      </c>
    </row>
    <row r="55" spans="1:8" x14ac:dyDescent="0.3">
      <c r="C55" t="s">
        <v>73</v>
      </c>
      <c r="G55">
        <f t="shared" si="2"/>
        <v>10</v>
      </c>
    </row>
    <row r="56" spans="1:8" x14ac:dyDescent="0.3">
      <c r="C56" t="s">
        <v>74</v>
      </c>
      <c r="G56">
        <f t="shared" si="2"/>
        <v>10</v>
      </c>
    </row>
    <row r="57" spans="1:8" x14ac:dyDescent="0.3">
      <c r="A57">
        <v>33</v>
      </c>
      <c r="B57">
        <v>1</v>
      </c>
      <c r="C57" t="s">
        <v>75</v>
      </c>
      <c r="D57" t="s">
        <v>76</v>
      </c>
      <c r="E57" s="5"/>
      <c r="F57">
        <f t="shared" si="1"/>
        <v>10</v>
      </c>
      <c r="G57">
        <f t="shared" si="2"/>
        <v>10</v>
      </c>
      <c r="H57" s="1" t="s">
        <v>259</v>
      </c>
    </row>
    <row r="58" spans="1:8" x14ac:dyDescent="0.3">
      <c r="A58">
        <v>34</v>
      </c>
      <c r="B58">
        <v>1</v>
      </c>
      <c r="C58" t="s">
        <v>77</v>
      </c>
      <c r="D58" t="s">
        <v>78</v>
      </c>
      <c r="E58" t="s">
        <v>243</v>
      </c>
      <c r="F58">
        <f t="shared" si="1"/>
        <v>10</v>
      </c>
      <c r="G58">
        <f t="shared" si="2"/>
        <v>10</v>
      </c>
      <c r="H58" s="1" t="s">
        <v>259</v>
      </c>
    </row>
    <row r="59" spans="1:8" x14ac:dyDescent="0.3">
      <c r="A59">
        <v>35</v>
      </c>
      <c r="B59">
        <v>3</v>
      </c>
      <c r="C59" t="s">
        <v>79</v>
      </c>
      <c r="D59" t="s">
        <v>80</v>
      </c>
      <c r="F59">
        <f t="shared" si="1"/>
        <v>30</v>
      </c>
      <c r="G59">
        <f t="shared" si="2"/>
        <v>10</v>
      </c>
      <c r="H59" s="1" t="s">
        <v>259</v>
      </c>
    </row>
    <row r="60" spans="1:8" x14ac:dyDescent="0.3">
      <c r="A60">
        <v>36</v>
      </c>
      <c r="B60">
        <v>12</v>
      </c>
      <c r="C60" t="s">
        <v>81</v>
      </c>
      <c r="D60" t="s">
        <v>82</v>
      </c>
      <c r="F60">
        <f t="shared" si="1"/>
        <v>120</v>
      </c>
      <c r="G60">
        <f t="shared" si="2"/>
        <v>10</v>
      </c>
      <c r="H60" s="3" t="s">
        <v>253</v>
      </c>
    </row>
    <row r="61" spans="1:8" x14ac:dyDescent="0.3">
      <c r="C61" t="s">
        <v>83</v>
      </c>
      <c r="G61">
        <f t="shared" si="2"/>
        <v>10</v>
      </c>
    </row>
    <row r="62" spans="1:8" x14ac:dyDescent="0.3">
      <c r="A62">
        <v>37</v>
      </c>
      <c r="B62">
        <v>2</v>
      </c>
      <c r="C62" t="s">
        <v>84</v>
      </c>
      <c r="D62" t="s">
        <v>85</v>
      </c>
      <c r="F62">
        <f t="shared" si="1"/>
        <v>20</v>
      </c>
      <c r="G62">
        <f t="shared" si="2"/>
        <v>10</v>
      </c>
      <c r="H62" s="3" t="s">
        <v>253</v>
      </c>
    </row>
    <row r="63" spans="1:8" x14ac:dyDescent="0.3">
      <c r="A63">
        <v>38</v>
      </c>
      <c r="B63">
        <v>1</v>
      </c>
      <c r="C63" t="s">
        <v>86</v>
      </c>
      <c r="D63" t="s">
        <v>87</v>
      </c>
      <c r="F63">
        <f t="shared" si="1"/>
        <v>10</v>
      </c>
      <c r="G63">
        <f t="shared" si="2"/>
        <v>10</v>
      </c>
      <c r="H63" t="s">
        <v>257</v>
      </c>
    </row>
    <row r="64" spans="1:8" x14ac:dyDescent="0.3">
      <c r="A64">
        <v>39</v>
      </c>
      <c r="B64">
        <v>1</v>
      </c>
      <c r="C64" t="s">
        <v>88</v>
      </c>
      <c r="D64" t="s">
        <v>89</v>
      </c>
      <c r="F64">
        <f t="shared" si="1"/>
        <v>10</v>
      </c>
      <c r="G64">
        <f t="shared" si="2"/>
        <v>10</v>
      </c>
      <c r="H64" t="s">
        <v>257</v>
      </c>
    </row>
    <row r="65" spans="1:8" x14ac:dyDescent="0.3">
      <c r="A65">
        <v>40</v>
      </c>
      <c r="B65">
        <v>1</v>
      </c>
      <c r="C65" t="s">
        <v>90</v>
      </c>
      <c r="D65" t="s">
        <v>91</v>
      </c>
      <c r="F65">
        <f t="shared" si="1"/>
        <v>10</v>
      </c>
      <c r="G65">
        <f t="shared" si="2"/>
        <v>10</v>
      </c>
      <c r="H65" t="s">
        <v>254</v>
      </c>
    </row>
    <row r="66" spans="1:8" x14ac:dyDescent="0.3">
      <c r="A66">
        <v>41</v>
      </c>
      <c r="B66">
        <v>2</v>
      </c>
      <c r="C66" t="s">
        <v>92</v>
      </c>
      <c r="D66" t="s">
        <v>93</v>
      </c>
      <c r="F66">
        <f t="shared" si="1"/>
        <v>20</v>
      </c>
      <c r="G66">
        <f t="shared" si="2"/>
        <v>10</v>
      </c>
      <c r="H66" s="6" t="s">
        <v>262</v>
      </c>
    </row>
    <row r="67" spans="1:8" x14ac:dyDescent="0.3">
      <c r="A67">
        <v>42</v>
      </c>
      <c r="B67">
        <v>3</v>
      </c>
      <c r="C67" t="s">
        <v>94</v>
      </c>
      <c r="D67" t="s">
        <v>95</v>
      </c>
      <c r="F67">
        <f t="shared" si="1"/>
        <v>30</v>
      </c>
      <c r="G67">
        <f t="shared" si="2"/>
        <v>10</v>
      </c>
      <c r="H67" t="s">
        <v>264</v>
      </c>
    </row>
    <row r="68" spans="1:8" x14ac:dyDescent="0.3">
      <c r="A68">
        <v>43</v>
      </c>
      <c r="B68">
        <v>1</v>
      </c>
      <c r="C68" t="s">
        <v>96</v>
      </c>
      <c r="D68" t="s">
        <v>97</v>
      </c>
      <c r="F68">
        <f t="shared" si="1"/>
        <v>10</v>
      </c>
      <c r="G68">
        <f t="shared" si="2"/>
        <v>10</v>
      </c>
      <c r="H68" t="s">
        <v>264</v>
      </c>
    </row>
    <row r="69" spans="1:8" x14ac:dyDescent="0.3">
      <c r="A69">
        <v>44</v>
      </c>
      <c r="B69">
        <v>1</v>
      </c>
      <c r="C69" t="s">
        <v>98</v>
      </c>
      <c r="D69" t="s">
        <v>99</v>
      </c>
      <c r="F69">
        <f t="shared" si="1"/>
        <v>10</v>
      </c>
      <c r="G69">
        <f t="shared" si="2"/>
        <v>10</v>
      </c>
      <c r="H69" s="6" t="s">
        <v>262</v>
      </c>
    </row>
    <row r="70" spans="1:8" x14ac:dyDescent="0.3">
      <c r="A70">
        <v>45</v>
      </c>
      <c r="B70">
        <v>1</v>
      </c>
      <c r="C70" t="s">
        <v>100</v>
      </c>
      <c r="D70" t="s">
        <v>101</v>
      </c>
      <c r="F70">
        <f t="shared" si="1"/>
        <v>10</v>
      </c>
      <c r="G70">
        <f t="shared" si="2"/>
        <v>10</v>
      </c>
      <c r="H70" s="6" t="s">
        <v>262</v>
      </c>
    </row>
    <row r="71" spans="1:8" x14ac:dyDescent="0.3">
      <c r="A71">
        <v>46</v>
      </c>
      <c r="B71">
        <v>2</v>
      </c>
      <c r="C71" t="s">
        <v>102</v>
      </c>
      <c r="D71" t="s">
        <v>103</v>
      </c>
      <c r="F71">
        <f t="shared" si="1"/>
        <v>20</v>
      </c>
      <c r="G71">
        <f t="shared" si="2"/>
        <v>10</v>
      </c>
      <c r="H71" s="6" t="s">
        <v>262</v>
      </c>
    </row>
    <row r="72" spans="1:8" x14ac:dyDescent="0.3">
      <c r="A72">
        <v>47</v>
      </c>
      <c r="B72">
        <v>1</v>
      </c>
      <c r="C72" t="s">
        <v>104</v>
      </c>
      <c r="D72" t="s">
        <v>105</v>
      </c>
      <c r="F72">
        <f t="shared" si="1"/>
        <v>10</v>
      </c>
      <c r="G72">
        <f t="shared" si="2"/>
        <v>10</v>
      </c>
      <c r="H72" s="6" t="s">
        <v>262</v>
      </c>
    </row>
    <row r="73" spans="1:8" x14ac:dyDescent="0.3">
      <c r="A73">
        <v>48</v>
      </c>
      <c r="B73">
        <v>1</v>
      </c>
      <c r="C73" t="s">
        <v>106</v>
      </c>
      <c r="D73" t="s">
        <v>107</v>
      </c>
      <c r="F73">
        <f t="shared" si="1"/>
        <v>10</v>
      </c>
      <c r="G73">
        <f t="shared" si="2"/>
        <v>10</v>
      </c>
      <c r="H73" t="s">
        <v>268</v>
      </c>
    </row>
    <row r="74" spans="1:8" x14ac:dyDescent="0.3">
      <c r="A74">
        <v>49</v>
      </c>
      <c r="B74">
        <v>1</v>
      </c>
      <c r="C74" t="s">
        <v>108</v>
      </c>
      <c r="D74" t="s">
        <v>109</v>
      </c>
      <c r="F74">
        <f t="shared" si="1"/>
        <v>10</v>
      </c>
      <c r="G74">
        <f t="shared" si="2"/>
        <v>10</v>
      </c>
      <c r="H74" s="6" t="s">
        <v>257</v>
      </c>
    </row>
    <row r="75" spans="1:8" x14ac:dyDescent="0.3">
      <c r="A75">
        <v>50</v>
      </c>
      <c r="B75">
        <v>1</v>
      </c>
      <c r="C75" t="s">
        <v>110</v>
      </c>
      <c r="D75" t="s">
        <v>111</v>
      </c>
      <c r="E75" t="s">
        <v>270</v>
      </c>
      <c r="F75">
        <f t="shared" si="1"/>
        <v>10</v>
      </c>
      <c r="G75">
        <f t="shared" si="2"/>
        <v>10</v>
      </c>
      <c r="H75" s="6" t="s">
        <v>262</v>
      </c>
    </row>
    <row r="76" spans="1:8" x14ac:dyDescent="0.3">
      <c r="A76">
        <v>51</v>
      </c>
      <c r="B76">
        <v>16</v>
      </c>
      <c r="C76" t="s">
        <v>112</v>
      </c>
      <c r="D76" t="s">
        <v>113</v>
      </c>
      <c r="F76">
        <f t="shared" si="1"/>
        <v>160</v>
      </c>
      <c r="G76">
        <f t="shared" si="2"/>
        <v>10</v>
      </c>
      <c r="H76" s="1" t="s">
        <v>259</v>
      </c>
    </row>
    <row r="77" spans="1:8" x14ac:dyDescent="0.3">
      <c r="C77" t="s">
        <v>114</v>
      </c>
      <c r="G77">
        <f t="shared" si="2"/>
        <v>10</v>
      </c>
    </row>
    <row r="78" spans="1:8" x14ac:dyDescent="0.3">
      <c r="C78" t="s">
        <v>115</v>
      </c>
      <c r="G78">
        <f t="shared" si="2"/>
        <v>10</v>
      </c>
    </row>
    <row r="79" spans="1:8" x14ac:dyDescent="0.3">
      <c r="A79">
        <v>52</v>
      </c>
      <c r="B79">
        <v>2</v>
      </c>
      <c r="C79" t="s">
        <v>116</v>
      </c>
      <c r="D79" t="s">
        <v>117</v>
      </c>
      <c r="F79">
        <f t="shared" si="1"/>
        <v>20</v>
      </c>
      <c r="G79">
        <f t="shared" ref="G79:G110" si="3">$F$6</f>
        <v>10</v>
      </c>
      <c r="H79" t="s">
        <v>257</v>
      </c>
    </row>
    <row r="80" spans="1:8" x14ac:dyDescent="0.3">
      <c r="A80">
        <v>53</v>
      </c>
      <c r="B80">
        <v>1</v>
      </c>
      <c r="C80" t="s">
        <v>118</v>
      </c>
      <c r="D80" t="s">
        <v>119</v>
      </c>
      <c r="F80">
        <f t="shared" ref="F80:F143" si="4">G80*B80</f>
        <v>10</v>
      </c>
      <c r="G80">
        <f t="shared" si="3"/>
        <v>10</v>
      </c>
      <c r="H80" s="1" t="s">
        <v>259</v>
      </c>
    </row>
    <row r="81" spans="1:8" x14ac:dyDescent="0.3">
      <c r="A81">
        <v>54</v>
      </c>
      <c r="B81">
        <v>3</v>
      </c>
      <c r="C81" t="s">
        <v>120</v>
      </c>
      <c r="D81" t="s">
        <v>121</v>
      </c>
      <c r="F81">
        <f t="shared" si="4"/>
        <v>30</v>
      </c>
      <c r="G81">
        <f t="shared" si="3"/>
        <v>10</v>
      </c>
      <c r="H81" s="1" t="s">
        <v>259</v>
      </c>
    </row>
    <row r="82" spans="1:8" x14ac:dyDescent="0.3">
      <c r="A82">
        <v>55</v>
      </c>
      <c r="B82">
        <v>16</v>
      </c>
      <c r="C82" t="s">
        <v>122</v>
      </c>
      <c r="D82">
        <v>470</v>
      </c>
      <c r="E82">
        <v>1608</v>
      </c>
      <c r="F82">
        <f t="shared" si="4"/>
        <v>160</v>
      </c>
      <c r="G82">
        <f t="shared" si="3"/>
        <v>10</v>
      </c>
      <c r="H82" t="s">
        <v>269</v>
      </c>
    </row>
    <row r="83" spans="1:8" x14ac:dyDescent="0.3">
      <c r="C83" t="s">
        <v>123</v>
      </c>
      <c r="G83">
        <f t="shared" si="3"/>
        <v>10</v>
      </c>
    </row>
    <row r="84" spans="1:8" x14ac:dyDescent="0.3">
      <c r="C84" t="s">
        <v>124</v>
      </c>
      <c r="G84">
        <f t="shared" si="3"/>
        <v>10</v>
      </c>
    </row>
    <row r="85" spans="1:8" x14ac:dyDescent="0.3">
      <c r="A85">
        <v>56</v>
      </c>
      <c r="B85">
        <v>3</v>
      </c>
      <c r="C85" t="s">
        <v>125</v>
      </c>
      <c r="D85" t="s">
        <v>126</v>
      </c>
      <c r="E85">
        <v>1608</v>
      </c>
      <c r="F85">
        <f t="shared" si="4"/>
        <v>30</v>
      </c>
      <c r="G85">
        <f t="shared" si="3"/>
        <v>10</v>
      </c>
      <c r="H85" t="s">
        <v>269</v>
      </c>
    </row>
    <row r="86" spans="1:8" x14ac:dyDescent="0.3">
      <c r="A86">
        <v>57</v>
      </c>
      <c r="B86">
        <v>12</v>
      </c>
      <c r="C86" t="s">
        <v>127</v>
      </c>
      <c r="D86" t="s">
        <v>128</v>
      </c>
      <c r="F86">
        <f t="shared" si="4"/>
        <v>120</v>
      </c>
      <c r="G86">
        <f t="shared" si="3"/>
        <v>10</v>
      </c>
      <c r="H86" s="1" t="s">
        <v>259</v>
      </c>
    </row>
    <row r="87" spans="1:8" x14ac:dyDescent="0.3">
      <c r="C87" t="s">
        <v>129</v>
      </c>
      <c r="G87">
        <f t="shared" si="3"/>
        <v>10</v>
      </c>
    </row>
    <row r="88" spans="1:8" x14ac:dyDescent="0.3">
      <c r="A88">
        <v>58</v>
      </c>
      <c r="B88">
        <v>12</v>
      </c>
      <c r="C88" t="s">
        <v>130</v>
      </c>
      <c r="D88" t="s">
        <v>131</v>
      </c>
      <c r="F88">
        <f t="shared" si="4"/>
        <v>120</v>
      </c>
      <c r="G88">
        <f t="shared" si="3"/>
        <v>10</v>
      </c>
      <c r="H88" s="1" t="s">
        <v>259</v>
      </c>
    </row>
    <row r="89" spans="1:8" x14ac:dyDescent="0.3">
      <c r="C89" t="s">
        <v>132</v>
      </c>
      <c r="G89">
        <f t="shared" si="3"/>
        <v>10</v>
      </c>
    </row>
    <row r="90" spans="1:8" x14ac:dyDescent="0.3">
      <c r="A90">
        <v>59</v>
      </c>
      <c r="B90">
        <v>2</v>
      </c>
      <c r="C90" t="s">
        <v>133</v>
      </c>
      <c r="D90" t="s">
        <v>134</v>
      </c>
      <c r="E90">
        <v>1608</v>
      </c>
      <c r="F90">
        <f t="shared" si="4"/>
        <v>20</v>
      </c>
      <c r="G90">
        <f t="shared" si="3"/>
        <v>10</v>
      </c>
      <c r="H90" t="s">
        <v>269</v>
      </c>
    </row>
    <row r="91" spans="1:8" x14ac:dyDescent="0.3">
      <c r="A91">
        <v>60</v>
      </c>
      <c r="B91">
        <v>1</v>
      </c>
      <c r="C91" t="s">
        <v>135</v>
      </c>
      <c r="D91" t="s">
        <v>136</v>
      </c>
      <c r="E91">
        <v>1608</v>
      </c>
      <c r="F91">
        <f t="shared" si="4"/>
        <v>10</v>
      </c>
      <c r="G91">
        <f t="shared" si="3"/>
        <v>10</v>
      </c>
      <c r="H91" t="s">
        <v>269</v>
      </c>
    </row>
    <row r="92" spans="1:8" x14ac:dyDescent="0.3">
      <c r="A92">
        <v>61</v>
      </c>
      <c r="B92">
        <v>16</v>
      </c>
      <c r="C92" t="s">
        <v>137</v>
      </c>
      <c r="D92" t="s">
        <v>138</v>
      </c>
      <c r="E92">
        <v>1608</v>
      </c>
      <c r="F92">
        <f t="shared" si="4"/>
        <v>160</v>
      </c>
      <c r="G92">
        <f t="shared" si="3"/>
        <v>10</v>
      </c>
      <c r="H92" t="s">
        <v>269</v>
      </c>
    </row>
    <row r="93" spans="1:8" x14ac:dyDescent="0.3">
      <c r="C93" t="s">
        <v>139</v>
      </c>
      <c r="G93">
        <f t="shared" si="3"/>
        <v>10</v>
      </c>
    </row>
    <row r="94" spans="1:8" x14ac:dyDescent="0.3">
      <c r="C94" t="s">
        <v>140</v>
      </c>
      <c r="G94">
        <f t="shared" si="3"/>
        <v>10</v>
      </c>
    </row>
    <row r="95" spans="1:8" x14ac:dyDescent="0.3">
      <c r="C95" t="s">
        <v>141</v>
      </c>
      <c r="G95">
        <f t="shared" si="3"/>
        <v>10</v>
      </c>
    </row>
    <row r="96" spans="1:8" x14ac:dyDescent="0.3">
      <c r="A96">
        <v>62</v>
      </c>
      <c r="B96">
        <v>3</v>
      </c>
      <c r="C96" t="s">
        <v>142</v>
      </c>
      <c r="D96" t="s">
        <v>143</v>
      </c>
      <c r="E96">
        <v>1608</v>
      </c>
      <c r="F96">
        <f t="shared" si="4"/>
        <v>30</v>
      </c>
      <c r="G96">
        <f t="shared" si="3"/>
        <v>10</v>
      </c>
      <c r="H96" t="s">
        <v>269</v>
      </c>
    </row>
    <row r="97" spans="1:8" x14ac:dyDescent="0.3">
      <c r="A97">
        <v>63</v>
      </c>
      <c r="B97">
        <v>18</v>
      </c>
      <c r="C97" t="s">
        <v>144</v>
      </c>
      <c r="D97" t="s">
        <v>145</v>
      </c>
      <c r="E97">
        <v>1608</v>
      </c>
      <c r="F97">
        <f t="shared" si="4"/>
        <v>180</v>
      </c>
      <c r="G97">
        <f t="shared" si="3"/>
        <v>10</v>
      </c>
      <c r="H97" t="s">
        <v>269</v>
      </c>
    </row>
    <row r="98" spans="1:8" x14ac:dyDescent="0.3">
      <c r="C98" t="s">
        <v>146</v>
      </c>
      <c r="G98">
        <f t="shared" si="3"/>
        <v>10</v>
      </c>
    </row>
    <row r="99" spans="1:8" x14ac:dyDescent="0.3">
      <c r="C99" t="s">
        <v>147</v>
      </c>
      <c r="G99">
        <f t="shared" si="3"/>
        <v>10</v>
      </c>
    </row>
    <row r="100" spans="1:8" x14ac:dyDescent="0.3">
      <c r="C100" t="s">
        <v>148</v>
      </c>
      <c r="G100">
        <f t="shared" si="3"/>
        <v>10</v>
      </c>
    </row>
    <row r="101" spans="1:8" x14ac:dyDescent="0.3">
      <c r="A101">
        <v>64</v>
      </c>
      <c r="B101">
        <v>2</v>
      </c>
      <c r="C101" t="s">
        <v>149</v>
      </c>
      <c r="D101">
        <v>10</v>
      </c>
      <c r="E101">
        <v>1608</v>
      </c>
      <c r="F101">
        <f t="shared" si="4"/>
        <v>20</v>
      </c>
      <c r="G101">
        <f t="shared" si="3"/>
        <v>10</v>
      </c>
      <c r="H101" t="s">
        <v>269</v>
      </c>
    </row>
    <row r="102" spans="1:8" x14ac:dyDescent="0.3">
      <c r="A102">
        <v>65</v>
      </c>
      <c r="B102">
        <v>6</v>
      </c>
      <c r="C102" t="s">
        <v>150</v>
      </c>
      <c r="D102" t="s">
        <v>151</v>
      </c>
      <c r="E102">
        <v>3216</v>
      </c>
      <c r="F102">
        <f t="shared" si="4"/>
        <v>60</v>
      </c>
      <c r="G102">
        <f t="shared" si="3"/>
        <v>10</v>
      </c>
      <c r="H102" s="3" t="s">
        <v>253</v>
      </c>
    </row>
    <row r="103" spans="1:8" x14ac:dyDescent="0.3">
      <c r="A103">
        <v>66</v>
      </c>
      <c r="B103">
        <v>18</v>
      </c>
      <c r="C103" t="s">
        <v>152</v>
      </c>
      <c r="D103" t="s">
        <v>153</v>
      </c>
      <c r="E103">
        <v>3216</v>
      </c>
      <c r="F103">
        <f t="shared" si="4"/>
        <v>180</v>
      </c>
      <c r="G103">
        <f t="shared" si="3"/>
        <v>10</v>
      </c>
      <c r="H103" s="3" t="s">
        <v>253</v>
      </c>
    </row>
    <row r="104" spans="1:8" x14ac:dyDescent="0.3">
      <c r="C104" t="s">
        <v>154</v>
      </c>
      <c r="G104">
        <f t="shared" si="3"/>
        <v>10</v>
      </c>
    </row>
    <row r="105" spans="1:8" x14ac:dyDescent="0.3">
      <c r="C105" t="s">
        <v>155</v>
      </c>
      <c r="G105">
        <f t="shared" si="3"/>
        <v>10</v>
      </c>
    </row>
    <row r="106" spans="1:8" x14ac:dyDescent="0.3">
      <c r="A106">
        <v>67</v>
      </c>
      <c r="B106">
        <v>3</v>
      </c>
      <c r="C106" t="s">
        <v>156</v>
      </c>
      <c r="D106" t="s">
        <v>157</v>
      </c>
      <c r="E106">
        <v>3216</v>
      </c>
      <c r="F106">
        <f t="shared" si="4"/>
        <v>30</v>
      </c>
      <c r="G106">
        <f t="shared" si="3"/>
        <v>10</v>
      </c>
      <c r="H106" s="3" t="s">
        <v>253</v>
      </c>
    </row>
    <row r="107" spans="1:8" x14ac:dyDescent="0.3">
      <c r="A107">
        <v>68</v>
      </c>
      <c r="B107">
        <v>24</v>
      </c>
      <c r="C107" t="s">
        <v>158</v>
      </c>
      <c r="D107" t="s">
        <v>159</v>
      </c>
      <c r="E107">
        <v>2012</v>
      </c>
      <c r="F107">
        <f t="shared" si="4"/>
        <v>240</v>
      </c>
      <c r="G107">
        <f t="shared" si="3"/>
        <v>10</v>
      </c>
      <c r="H107" s="1" t="s">
        <v>259</v>
      </c>
    </row>
    <row r="108" spans="1:8" x14ac:dyDescent="0.3">
      <c r="C108" t="s">
        <v>160</v>
      </c>
      <c r="G108">
        <f t="shared" si="3"/>
        <v>10</v>
      </c>
    </row>
    <row r="109" spans="1:8" x14ac:dyDescent="0.3">
      <c r="C109" t="s">
        <v>161</v>
      </c>
      <c r="G109">
        <f t="shared" si="3"/>
        <v>10</v>
      </c>
    </row>
    <row r="110" spans="1:8" x14ac:dyDescent="0.3">
      <c r="C110" t="s">
        <v>162</v>
      </c>
      <c r="G110">
        <f t="shared" si="3"/>
        <v>10</v>
      </c>
    </row>
    <row r="111" spans="1:8" x14ac:dyDescent="0.3">
      <c r="C111" t="s">
        <v>163</v>
      </c>
      <c r="G111">
        <f t="shared" ref="G111:G142" si="5">$F$6</f>
        <v>10</v>
      </c>
    </row>
    <row r="112" spans="1:8" x14ac:dyDescent="0.3">
      <c r="A112">
        <v>69</v>
      </c>
      <c r="B112">
        <v>12</v>
      </c>
      <c r="C112" t="s">
        <v>164</v>
      </c>
      <c r="D112" t="s">
        <v>165</v>
      </c>
      <c r="E112">
        <v>2012</v>
      </c>
      <c r="F112">
        <f t="shared" si="4"/>
        <v>120</v>
      </c>
      <c r="G112">
        <f t="shared" si="5"/>
        <v>10</v>
      </c>
      <c r="H112" s="3" t="s">
        <v>253</v>
      </c>
    </row>
    <row r="113" spans="1:8" x14ac:dyDescent="0.3">
      <c r="C113" t="s">
        <v>166</v>
      </c>
      <c r="G113">
        <f t="shared" si="5"/>
        <v>10</v>
      </c>
    </row>
    <row r="114" spans="1:8" x14ac:dyDescent="0.3">
      <c r="C114" t="s">
        <v>167</v>
      </c>
      <c r="G114">
        <f t="shared" si="5"/>
        <v>10</v>
      </c>
    </row>
    <row r="115" spans="1:8" x14ac:dyDescent="0.3">
      <c r="A115">
        <v>70</v>
      </c>
      <c r="B115">
        <v>6</v>
      </c>
      <c r="C115" t="s">
        <v>168</v>
      </c>
      <c r="D115" t="s">
        <v>169</v>
      </c>
      <c r="E115">
        <v>3216</v>
      </c>
      <c r="F115">
        <f t="shared" si="4"/>
        <v>60</v>
      </c>
      <c r="G115">
        <f t="shared" si="5"/>
        <v>10</v>
      </c>
      <c r="H115" s="3" t="s">
        <v>253</v>
      </c>
    </row>
    <row r="116" spans="1:8" x14ac:dyDescent="0.3">
      <c r="C116" t="s">
        <v>170</v>
      </c>
      <c r="G116">
        <f t="shared" si="5"/>
        <v>10</v>
      </c>
    </row>
    <row r="117" spans="1:8" x14ac:dyDescent="0.3">
      <c r="A117">
        <v>71</v>
      </c>
      <c r="B117">
        <v>1</v>
      </c>
      <c r="C117" t="s">
        <v>171</v>
      </c>
      <c r="D117" t="s">
        <v>172</v>
      </c>
      <c r="E117">
        <v>1608</v>
      </c>
      <c r="F117">
        <f t="shared" si="4"/>
        <v>10</v>
      </c>
      <c r="G117">
        <f t="shared" si="5"/>
        <v>10</v>
      </c>
      <c r="H117" t="s">
        <v>269</v>
      </c>
    </row>
    <row r="118" spans="1:8" x14ac:dyDescent="0.3">
      <c r="A118">
        <v>72</v>
      </c>
      <c r="B118">
        <v>1</v>
      </c>
      <c r="C118" t="s">
        <v>173</v>
      </c>
      <c r="D118" t="s">
        <v>174</v>
      </c>
      <c r="E118">
        <v>1608</v>
      </c>
      <c r="F118">
        <f t="shared" si="4"/>
        <v>10</v>
      </c>
      <c r="G118">
        <f t="shared" si="5"/>
        <v>10</v>
      </c>
      <c r="H118" t="s">
        <v>269</v>
      </c>
    </row>
    <row r="119" spans="1:8" x14ac:dyDescent="0.3">
      <c r="A119">
        <v>73</v>
      </c>
      <c r="B119">
        <v>4</v>
      </c>
      <c r="C119" t="s">
        <v>175</v>
      </c>
      <c r="D119">
        <v>50</v>
      </c>
      <c r="E119">
        <v>1608</v>
      </c>
      <c r="F119">
        <f t="shared" si="4"/>
        <v>40</v>
      </c>
      <c r="G119">
        <f t="shared" si="5"/>
        <v>10</v>
      </c>
      <c r="H119" t="s">
        <v>269</v>
      </c>
    </row>
    <row r="120" spans="1:8" x14ac:dyDescent="0.3">
      <c r="A120">
        <v>74</v>
      </c>
      <c r="B120">
        <v>1</v>
      </c>
      <c r="C120" t="s">
        <v>176</v>
      </c>
      <c r="D120" t="s">
        <v>177</v>
      </c>
      <c r="E120">
        <v>1608</v>
      </c>
      <c r="F120">
        <f t="shared" si="4"/>
        <v>10</v>
      </c>
      <c r="G120">
        <f t="shared" si="5"/>
        <v>10</v>
      </c>
      <c r="H120" t="s">
        <v>269</v>
      </c>
    </row>
    <row r="121" spans="1:8" x14ac:dyDescent="0.3">
      <c r="A121">
        <v>75</v>
      </c>
      <c r="B121">
        <v>1</v>
      </c>
      <c r="C121" t="s">
        <v>178</v>
      </c>
      <c r="D121" t="s">
        <v>179</v>
      </c>
      <c r="E121">
        <v>1608</v>
      </c>
      <c r="F121">
        <f t="shared" si="4"/>
        <v>10</v>
      </c>
      <c r="G121">
        <f t="shared" si="5"/>
        <v>10</v>
      </c>
      <c r="H121" t="s">
        <v>269</v>
      </c>
    </row>
    <row r="122" spans="1:8" x14ac:dyDescent="0.3">
      <c r="A122">
        <v>76</v>
      </c>
      <c r="B122">
        <v>2</v>
      </c>
      <c r="C122" t="s">
        <v>180</v>
      </c>
      <c r="D122">
        <v>330</v>
      </c>
      <c r="E122">
        <v>1608</v>
      </c>
      <c r="F122">
        <f t="shared" si="4"/>
        <v>20</v>
      </c>
      <c r="G122">
        <f t="shared" si="5"/>
        <v>10</v>
      </c>
      <c r="H122" t="s">
        <v>269</v>
      </c>
    </row>
    <row r="123" spans="1:8" x14ac:dyDescent="0.3">
      <c r="A123">
        <v>77</v>
      </c>
      <c r="B123">
        <v>1</v>
      </c>
      <c r="C123" t="s">
        <v>181</v>
      </c>
      <c r="D123">
        <v>5.0999999999999996</v>
      </c>
      <c r="E123">
        <v>1608</v>
      </c>
      <c r="F123">
        <f t="shared" si="4"/>
        <v>10</v>
      </c>
      <c r="G123">
        <f t="shared" si="5"/>
        <v>10</v>
      </c>
      <c r="H123" t="s">
        <v>269</v>
      </c>
    </row>
    <row r="124" spans="1:8" x14ac:dyDescent="0.3">
      <c r="A124">
        <v>78</v>
      </c>
      <c r="B124">
        <v>1</v>
      </c>
      <c r="C124" t="s">
        <v>182</v>
      </c>
      <c r="D124" t="s">
        <v>183</v>
      </c>
      <c r="E124">
        <v>2012</v>
      </c>
      <c r="F124">
        <f t="shared" si="4"/>
        <v>10</v>
      </c>
      <c r="G124">
        <f t="shared" si="5"/>
        <v>10</v>
      </c>
      <c r="H124" s="1" t="s">
        <v>259</v>
      </c>
    </row>
    <row r="125" spans="1:8" x14ac:dyDescent="0.3">
      <c r="A125">
        <v>79</v>
      </c>
      <c r="B125">
        <v>1</v>
      </c>
      <c r="C125" t="s">
        <v>184</v>
      </c>
      <c r="D125" t="s">
        <v>185</v>
      </c>
      <c r="E125">
        <v>1608</v>
      </c>
      <c r="F125">
        <f t="shared" si="4"/>
        <v>10</v>
      </c>
      <c r="G125">
        <f t="shared" si="5"/>
        <v>10</v>
      </c>
      <c r="H125" t="s">
        <v>269</v>
      </c>
    </row>
    <row r="126" spans="1:8" x14ac:dyDescent="0.3">
      <c r="A126">
        <v>80</v>
      </c>
      <c r="B126">
        <v>1</v>
      </c>
      <c r="C126" t="s">
        <v>186</v>
      </c>
      <c r="D126" t="s">
        <v>187</v>
      </c>
      <c r="E126">
        <v>1608</v>
      </c>
      <c r="F126">
        <f t="shared" si="4"/>
        <v>10</v>
      </c>
      <c r="G126">
        <f t="shared" si="5"/>
        <v>10</v>
      </c>
      <c r="H126" t="s">
        <v>269</v>
      </c>
    </row>
    <row r="127" spans="1:8" x14ac:dyDescent="0.3">
      <c r="A127">
        <v>81</v>
      </c>
      <c r="B127">
        <v>1</v>
      </c>
      <c r="C127" t="s">
        <v>188</v>
      </c>
      <c r="D127" t="s">
        <v>189</v>
      </c>
      <c r="E127">
        <v>1608</v>
      </c>
      <c r="F127">
        <f t="shared" si="4"/>
        <v>10</v>
      </c>
      <c r="G127">
        <f t="shared" si="5"/>
        <v>10</v>
      </c>
      <c r="H127" t="s">
        <v>269</v>
      </c>
    </row>
    <row r="128" spans="1:8" x14ac:dyDescent="0.3">
      <c r="A128">
        <v>82</v>
      </c>
      <c r="B128">
        <v>2</v>
      </c>
      <c r="C128" t="s">
        <v>190</v>
      </c>
      <c r="D128">
        <v>150</v>
      </c>
      <c r="E128">
        <v>1608</v>
      </c>
      <c r="F128">
        <f t="shared" si="4"/>
        <v>20</v>
      </c>
      <c r="G128">
        <f t="shared" si="5"/>
        <v>10</v>
      </c>
      <c r="H128" t="s">
        <v>269</v>
      </c>
    </row>
    <row r="129" spans="1:8" x14ac:dyDescent="0.3">
      <c r="A129">
        <v>83</v>
      </c>
      <c r="B129">
        <v>2</v>
      </c>
      <c r="C129" t="s">
        <v>191</v>
      </c>
      <c r="D129">
        <v>120</v>
      </c>
      <c r="E129">
        <v>1608</v>
      </c>
      <c r="F129">
        <f t="shared" si="4"/>
        <v>20</v>
      </c>
      <c r="G129">
        <f t="shared" si="5"/>
        <v>10</v>
      </c>
      <c r="H129" t="s">
        <v>269</v>
      </c>
    </row>
    <row r="130" spans="1:8" x14ac:dyDescent="0.3">
      <c r="A130">
        <v>84</v>
      </c>
      <c r="B130">
        <v>2</v>
      </c>
      <c r="C130" t="s">
        <v>192</v>
      </c>
      <c r="D130">
        <v>75</v>
      </c>
      <c r="E130">
        <v>1608</v>
      </c>
      <c r="F130">
        <f t="shared" si="4"/>
        <v>20</v>
      </c>
      <c r="G130">
        <f t="shared" si="5"/>
        <v>10</v>
      </c>
      <c r="H130" t="s">
        <v>269</v>
      </c>
    </row>
    <row r="131" spans="1:8" x14ac:dyDescent="0.3">
      <c r="A131">
        <v>85</v>
      </c>
      <c r="B131">
        <v>4</v>
      </c>
      <c r="C131" t="s">
        <v>193</v>
      </c>
      <c r="D131" t="s">
        <v>194</v>
      </c>
      <c r="E131">
        <v>3216</v>
      </c>
      <c r="F131">
        <f t="shared" si="4"/>
        <v>40</v>
      </c>
      <c r="G131">
        <f t="shared" si="5"/>
        <v>10</v>
      </c>
      <c r="H131" s="1" t="s">
        <v>259</v>
      </c>
    </row>
    <row r="132" spans="1:8" x14ac:dyDescent="0.3">
      <c r="A132">
        <v>86</v>
      </c>
      <c r="B132">
        <v>2</v>
      </c>
      <c r="C132" t="s">
        <v>195</v>
      </c>
      <c r="D132" t="s">
        <v>196</v>
      </c>
      <c r="E132" t="s">
        <v>250</v>
      </c>
      <c r="G132">
        <f t="shared" si="5"/>
        <v>10</v>
      </c>
    </row>
    <row r="133" spans="1:8" x14ac:dyDescent="0.3">
      <c r="A133">
        <v>87</v>
      </c>
      <c r="B133">
        <v>1</v>
      </c>
      <c r="C133" t="s">
        <v>197</v>
      </c>
      <c r="D133" t="s">
        <v>251</v>
      </c>
      <c r="F133">
        <f t="shared" si="4"/>
        <v>10</v>
      </c>
      <c r="G133">
        <f t="shared" si="5"/>
        <v>10</v>
      </c>
      <c r="H133" t="s">
        <v>257</v>
      </c>
    </row>
    <row r="134" spans="1:8" x14ac:dyDescent="0.3">
      <c r="A134">
        <v>88</v>
      </c>
      <c r="B134">
        <v>1</v>
      </c>
      <c r="C134" t="s">
        <v>198</v>
      </c>
      <c r="D134" t="s">
        <v>199</v>
      </c>
      <c r="F134">
        <f t="shared" si="4"/>
        <v>10</v>
      </c>
      <c r="G134">
        <f t="shared" si="5"/>
        <v>10</v>
      </c>
      <c r="H134" s="1" t="s">
        <v>262</v>
      </c>
    </row>
    <row r="135" spans="1:8" x14ac:dyDescent="0.3">
      <c r="A135">
        <v>89</v>
      </c>
      <c r="B135">
        <v>2</v>
      </c>
      <c r="C135" t="s">
        <v>200</v>
      </c>
      <c r="D135" t="s">
        <v>201</v>
      </c>
      <c r="F135">
        <f t="shared" si="4"/>
        <v>20</v>
      </c>
      <c r="G135">
        <f t="shared" si="5"/>
        <v>10</v>
      </c>
      <c r="H135" s="1" t="s">
        <v>262</v>
      </c>
    </row>
    <row r="136" spans="1:8" x14ac:dyDescent="0.3">
      <c r="A136">
        <v>90</v>
      </c>
      <c r="B136">
        <v>4</v>
      </c>
      <c r="C136" t="s">
        <v>202</v>
      </c>
      <c r="D136" t="s">
        <v>203</v>
      </c>
      <c r="E136" t="s">
        <v>250</v>
      </c>
      <c r="G136">
        <f t="shared" si="5"/>
        <v>10</v>
      </c>
    </row>
    <row r="137" spans="1:8" x14ac:dyDescent="0.3">
      <c r="A137">
        <v>91</v>
      </c>
      <c r="B137">
        <v>6</v>
      </c>
      <c r="C137" t="s">
        <v>204</v>
      </c>
      <c r="D137" t="s">
        <v>205</v>
      </c>
      <c r="F137">
        <f t="shared" si="4"/>
        <v>60</v>
      </c>
      <c r="G137">
        <f t="shared" si="5"/>
        <v>10</v>
      </c>
      <c r="H137" s="3" t="s">
        <v>253</v>
      </c>
    </row>
    <row r="138" spans="1:8" x14ac:dyDescent="0.3">
      <c r="A138">
        <v>92</v>
      </c>
      <c r="B138">
        <v>16</v>
      </c>
      <c r="C138" t="s">
        <v>206</v>
      </c>
      <c r="D138" t="s">
        <v>207</v>
      </c>
      <c r="F138">
        <f t="shared" si="4"/>
        <v>160</v>
      </c>
      <c r="G138">
        <f t="shared" si="5"/>
        <v>10</v>
      </c>
      <c r="H138" s="6" t="s">
        <v>256</v>
      </c>
    </row>
    <row r="139" spans="1:8" x14ac:dyDescent="0.3">
      <c r="C139" t="s">
        <v>208</v>
      </c>
      <c r="G139">
        <f t="shared" si="5"/>
        <v>10</v>
      </c>
    </row>
    <row r="140" spans="1:8" x14ac:dyDescent="0.3">
      <c r="C140" t="s">
        <v>209</v>
      </c>
      <c r="G140">
        <f t="shared" si="5"/>
        <v>10</v>
      </c>
    </row>
    <row r="141" spans="1:8" x14ac:dyDescent="0.3">
      <c r="A141">
        <v>93</v>
      </c>
      <c r="B141">
        <v>1</v>
      </c>
      <c r="C141" t="s">
        <v>210</v>
      </c>
      <c r="D141" t="s">
        <v>211</v>
      </c>
      <c r="F141">
        <f t="shared" si="4"/>
        <v>10</v>
      </c>
      <c r="G141">
        <f t="shared" si="5"/>
        <v>10</v>
      </c>
      <c r="H141" t="s">
        <v>254</v>
      </c>
    </row>
    <row r="142" spans="1:8" x14ac:dyDescent="0.3">
      <c r="A142">
        <v>94</v>
      </c>
      <c r="B142">
        <v>1</v>
      </c>
      <c r="C142" t="s">
        <v>212</v>
      </c>
      <c r="D142" t="s">
        <v>213</v>
      </c>
      <c r="F142">
        <f t="shared" si="4"/>
        <v>10</v>
      </c>
      <c r="G142">
        <f t="shared" si="5"/>
        <v>10</v>
      </c>
      <c r="H142" t="s">
        <v>255</v>
      </c>
    </row>
    <row r="143" spans="1:8" x14ac:dyDescent="0.3">
      <c r="A143">
        <v>95</v>
      </c>
      <c r="B143">
        <v>1</v>
      </c>
      <c r="C143" t="s">
        <v>214</v>
      </c>
      <c r="D143" t="s">
        <v>215</v>
      </c>
      <c r="F143">
        <f t="shared" si="4"/>
        <v>10</v>
      </c>
      <c r="G143">
        <f t="shared" ref="G143:G154" si="6">$F$6</f>
        <v>10</v>
      </c>
      <c r="H143" s="6" t="s">
        <v>256</v>
      </c>
    </row>
    <row r="144" spans="1:8" x14ac:dyDescent="0.3">
      <c r="A144">
        <v>96</v>
      </c>
      <c r="B144">
        <v>3</v>
      </c>
      <c r="C144" t="s">
        <v>216</v>
      </c>
      <c r="D144" t="s">
        <v>217</v>
      </c>
      <c r="E144" t="s">
        <v>252</v>
      </c>
      <c r="F144">
        <f t="shared" ref="F144:F154" si="7">G144*B144</f>
        <v>30</v>
      </c>
      <c r="G144">
        <f t="shared" si="6"/>
        <v>10</v>
      </c>
      <c r="H144" t="s">
        <v>256</v>
      </c>
    </row>
    <row r="145" spans="1:8" x14ac:dyDescent="0.3">
      <c r="A145">
        <v>97</v>
      </c>
      <c r="B145">
        <v>2</v>
      </c>
      <c r="C145" t="s">
        <v>218</v>
      </c>
      <c r="D145" t="s">
        <v>219</v>
      </c>
      <c r="F145">
        <f t="shared" si="7"/>
        <v>20</v>
      </c>
      <c r="G145">
        <f t="shared" si="6"/>
        <v>10</v>
      </c>
      <c r="H145" s="2" t="s">
        <v>258</v>
      </c>
    </row>
    <row r="146" spans="1:8" x14ac:dyDescent="0.3">
      <c r="A146">
        <v>98</v>
      </c>
      <c r="B146">
        <v>1</v>
      </c>
      <c r="C146" t="s">
        <v>220</v>
      </c>
      <c r="D146" t="s">
        <v>221</v>
      </c>
      <c r="F146">
        <f t="shared" si="7"/>
        <v>10</v>
      </c>
      <c r="G146">
        <f t="shared" si="6"/>
        <v>10</v>
      </c>
      <c r="H146" t="s">
        <v>254</v>
      </c>
    </row>
    <row r="147" spans="1:8" x14ac:dyDescent="0.3">
      <c r="A147">
        <v>99</v>
      </c>
      <c r="B147">
        <v>1</v>
      </c>
      <c r="C147" t="s">
        <v>222</v>
      </c>
      <c r="D147" t="s">
        <v>223</v>
      </c>
      <c r="F147">
        <f t="shared" si="7"/>
        <v>10</v>
      </c>
      <c r="G147">
        <f t="shared" si="6"/>
        <v>10</v>
      </c>
      <c r="H147" t="s">
        <v>261</v>
      </c>
    </row>
    <row r="148" spans="1:8" x14ac:dyDescent="0.3">
      <c r="A148">
        <v>100</v>
      </c>
      <c r="B148">
        <v>2</v>
      </c>
      <c r="C148" t="s">
        <v>224</v>
      </c>
      <c r="D148" t="s">
        <v>225</v>
      </c>
      <c r="F148">
        <f t="shared" si="7"/>
        <v>20</v>
      </c>
      <c r="G148">
        <f t="shared" si="6"/>
        <v>10</v>
      </c>
      <c r="H148" t="s">
        <v>257</v>
      </c>
    </row>
    <row r="149" spans="1:8" x14ac:dyDescent="0.3">
      <c r="A149">
        <v>101</v>
      </c>
      <c r="B149">
        <v>1</v>
      </c>
      <c r="C149" t="s">
        <v>226</v>
      </c>
      <c r="D149" t="s">
        <v>227</v>
      </c>
      <c r="F149">
        <f t="shared" si="7"/>
        <v>10</v>
      </c>
      <c r="G149">
        <f t="shared" si="6"/>
        <v>10</v>
      </c>
      <c r="H149" t="s">
        <v>254</v>
      </c>
    </row>
    <row r="150" spans="1:8" x14ac:dyDescent="0.3">
      <c r="A150">
        <v>102</v>
      </c>
      <c r="B150">
        <v>1</v>
      </c>
      <c r="C150" t="s">
        <v>228</v>
      </c>
      <c r="D150" t="s">
        <v>229</v>
      </c>
      <c r="F150">
        <f t="shared" si="7"/>
        <v>10</v>
      </c>
      <c r="G150">
        <f t="shared" si="6"/>
        <v>10</v>
      </c>
      <c r="H150" s="2" t="s">
        <v>258</v>
      </c>
    </row>
    <row r="151" spans="1:8" x14ac:dyDescent="0.3">
      <c r="A151">
        <v>103</v>
      </c>
      <c r="B151">
        <v>2</v>
      </c>
      <c r="C151" t="s">
        <v>230</v>
      </c>
      <c r="D151" t="s">
        <v>231</v>
      </c>
      <c r="F151">
        <f t="shared" si="7"/>
        <v>20</v>
      </c>
      <c r="G151">
        <f t="shared" si="6"/>
        <v>10</v>
      </c>
      <c r="H151" s="2" t="s">
        <v>258</v>
      </c>
    </row>
    <row r="152" spans="1:8" x14ac:dyDescent="0.3">
      <c r="A152">
        <v>104</v>
      </c>
      <c r="B152">
        <v>4</v>
      </c>
      <c r="C152" t="s">
        <v>232</v>
      </c>
      <c r="D152" t="s">
        <v>233</v>
      </c>
      <c r="F152">
        <f t="shared" si="7"/>
        <v>40</v>
      </c>
      <c r="G152">
        <f t="shared" si="6"/>
        <v>10</v>
      </c>
      <c r="H152" s="6" t="s">
        <v>259</v>
      </c>
    </row>
    <row r="153" spans="1:8" x14ac:dyDescent="0.3">
      <c r="A153">
        <v>105</v>
      </c>
      <c r="B153">
        <v>1</v>
      </c>
      <c r="C153" t="s">
        <v>234</v>
      </c>
      <c r="D153" t="s">
        <v>235</v>
      </c>
      <c r="E153" t="s">
        <v>244</v>
      </c>
      <c r="F153">
        <f t="shared" si="7"/>
        <v>10</v>
      </c>
      <c r="G153">
        <f t="shared" si="6"/>
        <v>10</v>
      </c>
      <c r="H153" s="6" t="s">
        <v>259</v>
      </c>
    </row>
    <row r="154" spans="1:8" x14ac:dyDescent="0.3">
      <c r="A154">
        <v>106</v>
      </c>
      <c r="B154">
        <v>1</v>
      </c>
      <c r="C154" t="s">
        <v>236</v>
      </c>
      <c r="D154" t="s">
        <v>260</v>
      </c>
      <c r="E154" t="s">
        <v>244</v>
      </c>
      <c r="F154">
        <f t="shared" si="7"/>
        <v>10</v>
      </c>
      <c r="G154">
        <f t="shared" si="6"/>
        <v>10</v>
      </c>
      <c r="H154" s="6" t="s">
        <v>259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RTU_AI_PLATFORM_ESP32_261003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 Jun Ahn</dc:creator>
  <cp:lastModifiedBy>Young Jun Ahn</cp:lastModifiedBy>
  <dcterms:created xsi:type="dcterms:W3CDTF">2026-10-04T18:53:20Z</dcterms:created>
  <dcterms:modified xsi:type="dcterms:W3CDTF">2026-10-05T18:23:40Z</dcterms:modified>
</cp:coreProperties>
</file>